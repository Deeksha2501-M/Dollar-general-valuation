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03df471173b21/college/VCU/Cases in financial mgt/"/>
    </mc:Choice>
  </mc:AlternateContent>
  <xr:revisionPtr revIDLastSave="1408" documentId="8_{A05F9995-BEE5-ED49-8782-A1BAC4349D14}" xr6:coauthVersionLast="47" xr6:coauthVersionMax="47" xr10:uidLastSave="{FD0FC00E-879F-9B4E-AC74-8ECE08EB413B}"/>
  <bookViews>
    <workbookView xWindow="0" yWindow="600" windowWidth="28800" windowHeight="16360" xr2:uid="{DBCCEA9E-397B-3646-87B4-C771944BAA10}"/>
  </bookViews>
  <sheets>
    <sheet name="Comparables" sheetId="1" r:id="rId1"/>
    <sheet name="Precedent Analysis " sheetId="2" r:id="rId2"/>
    <sheet name="DCF_baseline" sheetId="3" r:id="rId3"/>
    <sheet name="DCF_downside" sheetId="7" r:id="rId4"/>
    <sheet name="DCF_upside" sheetId="8" r:id="rId5"/>
    <sheet name="Football Field" sheetId="4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D10" i="4"/>
  <c r="C10" i="4"/>
  <c r="E8" i="4"/>
  <c r="D8" i="4"/>
  <c r="C8" i="4"/>
  <c r="E6" i="4"/>
  <c r="D6" i="4"/>
  <c r="C6" i="4"/>
  <c r="E5" i="4"/>
  <c r="D5" i="4"/>
  <c r="C5" i="4"/>
  <c r="E38" i="7"/>
  <c r="E39" i="7"/>
  <c r="E40" i="7"/>
  <c r="H29" i="7"/>
  <c r="H31" i="7"/>
  <c r="J33" i="7"/>
  <c r="E38" i="3"/>
  <c r="E39" i="3"/>
  <c r="E40" i="3"/>
  <c r="H29" i="3"/>
  <c r="H31" i="3"/>
  <c r="L30" i="3"/>
  <c r="H39" i="3"/>
  <c r="H38" i="3"/>
  <c r="F12" i="2"/>
  <c r="F13" i="2"/>
  <c r="F11" i="2"/>
  <c r="H20" i="1"/>
  <c r="H21" i="1"/>
  <c r="H19" i="1"/>
  <c r="B24" i="1"/>
  <c r="E30" i="1"/>
  <c r="H30" i="1"/>
  <c r="E31" i="1"/>
  <c r="H31" i="1"/>
  <c r="E29" i="1"/>
  <c r="H29" i="1"/>
  <c r="H14" i="1"/>
  <c r="H15" i="1"/>
  <c r="H13" i="1"/>
  <c r="K36" i="1"/>
  <c r="K37" i="1"/>
  <c r="K35" i="1"/>
  <c r="H36" i="1"/>
  <c r="H37" i="1"/>
  <c r="H35" i="1"/>
  <c r="E36" i="1"/>
  <c r="E37" i="1"/>
  <c r="E35" i="1"/>
  <c r="E19" i="1"/>
  <c r="K30" i="1"/>
  <c r="K31" i="1"/>
  <c r="K29" i="1"/>
  <c r="E13" i="1"/>
  <c r="B37" i="1"/>
  <c r="B36" i="1"/>
  <c r="B35" i="1"/>
  <c r="B31" i="1"/>
  <c r="B30" i="1"/>
  <c r="B29" i="1"/>
  <c r="G4" i="3"/>
  <c r="G4" i="8"/>
  <c r="G10" i="8"/>
  <c r="B17" i="8"/>
  <c r="C17" i="8"/>
  <c r="D17" i="8"/>
  <c r="E17" i="8"/>
  <c r="F17" i="8"/>
  <c r="G17" i="8"/>
  <c r="G14" i="8"/>
  <c r="B18" i="8"/>
  <c r="C18" i="8"/>
  <c r="D18" i="8"/>
  <c r="E18" i="8"/>
  <c r="F18" i="8"/>
  <c r="G18" i="8"/>
  <c r="G15" i="8"/>
  <c r="G24" i="8"/>
  <c r="H4" i="8"/>
  <c r="H10" i="8"/>
  <c r="H17" i="8"/>
  <c r="H14" i="8"/>
  <c r="H18" i="8"/>
  <c r="H15" i="8"/>
  <c r="H24" i="8"/>
  <c r="I4" i="8"/>
  <c r="I10" i="8"/>
  <c r="I17" i="8"/>
  <c r="I14" i="8"/>
  <c r="I18" i="8"/>
  <c r="I15" i="8"/>
  <c r="I24" i="8"/>
  <c r="J4" i="8"/>
  <c r="J10" i="8"/>
  <c r="J17" i="8"/>
  <c r="J14" i="8"/>
  <c r="J18" i="8"/>
  <c r="J15" i="8"/>
  <c r="J24" i="8"/>
  <c r="K4" i="8"/>
  <c r="K10" i="8"/>
  <c r="K17" i="8"/>
  <c r="K14" i="8"/>
  <c r="K18" i="8"/>
  <c r="K15" i="8"/>
  <c r="K24" i="8"/>
  <c r="E38" i="8"/>
  <c r="E39" i="8"/>
  <c r="E40" i="8"/>
  <c r="B34" i="8"/>
  <c r="E9" i="1"/>
  <c r="B35" i="8"/>
  <c r="B36" i="8"/>
  <c r="B28" i="8"/>
  <c r="B32" i="8"/>
  <c r="B29" i="8"/>
  <c r="B38" i="8"/>
  <c r="E37" i="8"/>
  <c r="E32" i="8"/>
  <c r="H27" i="8"/>
  <c r="H28" i="8"/>
  <c r="H29" i="8"/>
  <c r="H30" i="8"/>
  <c r="H31" i="8"/>
  <c r="K20" i="8"/>
  <c r="J20" i="8"/>
  <c r="K22" i="8"/>
  <c r="I20" i="8"/>
  <c r="J22" i="8"/>
  <c r="H20" i="8"/>
  <c r="I22" i="8"/>
  <c r="G20" i="8"/>
  <c r="H22" i="8"/>
  <c r="F20" i="8"/>
  <c r="G22" i="8"/>
  <c r="F21" i="8"/>
  <c r="E20" i="8"/>
  <c r="E21" i="8"/>
  <c r="D20" i="8"/>
  <c r="D21" i="8"/>
  <c r="C20" i="8"/>
  <c r="C21" i="8"/>
  <c r="B20" i="8"/>
  <c r="B21" i="8"/>
  <c r="F11" i="8"/>
  <c r="E11" i="8"/>
  <c r="D11" i="8"/>
  <c r="C11" i="8"/>
  <c r="B11" i="8"/>
  <c r="B7" i="8"/>
  <c r="B8" i="8"/>
  <c r="C7" i="8"/>
  <c r="C8" i="8"/>
  <c r="D7" i="8"/>
  <c r="D8" i="8"/>
  <c r="E7" i="8"/>
  <c r="E8" i="8"/>
  <c r="F7" i="8"/>
  <c r="F8" i="8"/>
  <c r="G8" i="8"/>
  <c r="H8" i="8"/>
  <c r="I8" i="8"/>
  <c r="J8" i="8"/>
  <c r="K8" i="8"/>
  <c r="K7" i="8"/>
  <c r="J7" i="8"/>
  <c r="I7" i="8"/>
  <c r="H7" i="8"/>
  <c r="G7" i="8"/>
  <c r="F5" i="8"/>
  <c r="E5" i="8"/>
  <c r="D5" i="8"/>
  <c r="C5" i="8"/>
  <c r="G4" i="7"/>
  <c r="G10" i="7"/>
  <c r="B17" i="7"/>
  <c r="C17" i="7"/>
  <c r="D17" i="7"/>
  <c r="E17" i="7"/>
  <c r="F17" i="7"/>
  <c r="G17" i="7"/>
  <c r="G14" i="7"/>
  <c r="B18" i="7"/>
  <c r="C18" i="7"/>
  <c r="D18" i="7"/>
  <c r="E18" i="7"/>
  <c r="F18" i="7"/>
  <c r="G18" i="7"/>
  <c r="G15" i="7"/>
  <c r="G24" i="7"/>
  <c r="H4" i="7"/>
  <c r="H10" i="7"/>
  <c r="H17" i="7"/>
  <c r="H14" i="7"/>
  <c r="H18" i="7"/>
  <c r="H15" i="7"/>
  <c r="H24" i="7"/>
  <c r="I4" i="7"/>
  <c r="I10" i="7"/>
  <c r="I17" i="7"/>
  <c r="I14" i="7"/>
  <c r="I18" i="7"/>
  <c r="I15" i="7"/>
  <c r="I24" i="7"/>
  <c r="J4" i="7"/>
  <c r="J10" i="7"/>
  <c r="J17" i="7"/>
  <c r="J14" i="7"/>
  <c r="J18" i="7"/>
  <c r="J15" i="7"/>
  <c r="J24" i="7"/>
  <c r="K4" i="7"/>
  <c r="K10" i="7"/>
  <c r="K17" i="7"/>
  <c r="K14" i="7"/>
  <c r="K18" i="7"/>
  <c r="K15" i="7"/>
  <c r="K24" i="7"/>
  <c r="B34" i="7"/>
  <c r="B35" i="7"/>
  <c r="B36" i="7"/>
  <c r="B28" i="7"/>
  <c r="B32" i="7"/>
  <c r="B29" i="7"/>
  <c r="B38" i="7"/>
  <c r="E37" i="7"/>
  <c r="E32" i="7"/>
  <c r="H27" i="7"/>
  <c r="H28" i="7"/>
  <c r="H30" i="7"/>
  <c r="K20" i="7"/>
  <c r="J20" i="7"/>
  <c r="K22" i="7"/>
  <c r="I20" i="7"/>
  <c r="J22" i="7"/>
  <c r="H20" i="7"/>
  <c r="I22" i="7"/>
  <c r="G20" i="7"/>
  <c r="H22" i="7"/>
  <c r="F20" i="7"/>
  <c r="G22" i="7"/>
  <c r="F21" i="7"/>
  <c r="E20" i="7"/>
  <c r="E21" i="7"/>
  <c r="D20" i="7"/>
  <c r="D21" i="7"/>
  <c r="C20" i="7"/>
  <c r="C21" i="7"/>
  <c r="B20" i="7"/>
  <c r="B21" i="7"/>
  <c r="F11" i="7"/>
  <c r="E11" i="7"/>
  <c r="D11" i="7"/>
  <c r="C11" i="7"/>
  <c r="B11" i="7"/>
  <c r="B7" i="7"/>
  <c r="B8" i="7"/>
  <c r="C7" i="7"/>
  <c r="C8" i="7"/>
  <c r="D7" i="7"/>
  <c r="D8" i="7"/>
  <c r="E7" i="7"/>
  <c r="E8" i="7"/>
  <c r="F7" i="7"/>
  <c r="F8" i="7"/>
  <c r="G8" i="7"/>
  <c r="H8" i="7"/>
  <c r="I8" i="7"/>
  <c r="J8" i="7"/>
  <c r="K8" i="7"/>
  <c r="K7" i="7"/>
  <c r="J7" i="7"/>
  <c r="I7" i="7"/>
  <c r="H7" i="7"/>
  <c r="G7" i="7"/>
  <c r="F5" i="7"/>
  <c r="E5" i="7"/>
  <c r="D5" i="7"/>
  <c r="C5" i="7"/>
  <c r="G10" i="3"/>
  <c r="B17" i="3"/>
  <c r="C17" i="3"/>
  <c r="D17" i="3"/>
  <c r="E17" i="3"/>
  <c r="F17" i="3"/>
  <c r="G17" i="3"/>
  <c r="G14" i="3"/>
  <c r="B18" i="3"/>
  <c r="C18" i="3"/>
  <c r="D18" i="3"/>
  <c r="E18" i="3"/>
  <c r="F18" i="3"/>
  <c r="G18" i="3"/>
  <c r="G15" i="3"/>
  <c r="G24" i="3"/>
  <c r="H4" i="3"/>
  <c r="H10" i="3"/>
  <c r="H17" i="3"/>
  <c r="H14" i="3"/>
  <c r="H18" i="3"/>
  <c r="H15" i="3"/>
  <c r="H24" i="3"/>
  <c r="I4" i="3"/>
  <c r="I10" i="3"/>
  <c r="I17" i="3"/>
  <c r="I14" i="3"/>
  <c r="I18" i="3"/>
  <c r="I15" i="3"/>
  <c r="I24" i="3"/>
  <c r="J4" i="3"/>
  <c r="J10" i="3"/>
  <c r="J17" i="3"/>
  <c r="J14" i="3"/>
  <c r="J18" i="3"/>
  <c r="J15" i="3"/>
  <c r="J24" i="3"/>
  <c r="K4" i="3"/>
  <c r="K10" i="3"/>
  <c r="K17" i="3"/>
  <c r="K14" i="3"/>
  <c r="K18" i="3"/>
  <c r="K15" i="3"/>
  <c r="K24" i="3"/>
  <c r="H27" i="3"/>
  <c r="B34" i="3"/>
  <c r="H28" i="3"/>
  <c r="E37" i="3"/>
  <c r="B35" i="3"/>
  <c r="B36" i="3"/>
  <c r="B28" i="3"/>
  <c r="B32" i="3"/>
  <c r="B29" i="3"/>
  <c r="B38" i="3"/>
  <c r="E32" i="3"/>
  <c r="H30" i="3"/>
  <c r="H20" i="3"/>
  <c r="G20" i="3"/>
  <c r="H22" i="3"/>
  <c r="I20" i="3"/>
  <c r="I22" i="3"/>
  <c r="J20" i="3"/>
  <c r="J22" i="3"/>
  <c r="K20" i="3"/>
  <c r="K22" i="3"/>
  <c r="F20" i="3"/>
  <c r="G22" i="3"/>
  <c r="B7" i="3"/>
  <c r="B8" i="3"/>
  <c r="C7" i="3"/>
  <c r="C8" i="3"/>
  <c r="D7" i="3"/>
  <c r="D8" i="3"/>
  <c r="E7" i="3"/>
  <c r="E8" i="3"/>
  <c r="F7" i="3"/>
  <c r="F8" i="3"/>
  <c r="G8" i="3"/>
  <c r="H8" i="3"/>
  <c r="I8" i="3"/>
  <c r="J8" i="3"/>
  <c r="K8" i="3"/>
  <c r="K7" i="3"/>
  <c r="J7" i="3"/>
  <c r="I7" i="3"/>
  <c r="H7" i="3"/>
  <c r="G7" i="3"/>
  <c r="F5" i="3"/>
  <c r="E5" i="3"/>
  <c r="D5" i="3"/>
  <c r="C5" i="3"/>
  <c r="C20" i="3"/>
  <c r="C21" i="3"/>
  <c r="D20" i="3"/>
  <c r="D21" i="3"/>
  <c r="E20" i="3"/>
  <c r="E21" i="3"/>
  <c r="F21" i="3"/>
  <c r="B20" i="3"/>
  <c r="B21" i="3"/>
  <c r="B11" i="3"/>
  <c r="C11" i="3"/>
  <c r="D11" i="3"/>
  <c r="E11" i="3"/>
  <c r="F11" i="3"/>
  <c r="G3" i="2"/>
  <c r="H3" i="2"/>
  <c r="J3" i="2"/>
  <c r="M3" i="2"/>
  <c r="G4" i="2"/>
  <c r="J4" i="2"/>
  <c r="K4" i="2"/>
  <c r="M4" i="2"/>
  <c r="G5" i="2"/>
  <c r="J5" i="2"/>
  <c r="M5" i="2"/>
  <c r="G6" i="2"/>
  <c r="J6" i="2"/>
  <c r="M6" i="2"/>
  <c r="C12" i="2"/>
  <c r="K8" i="2"/>
  <c r="E12" i="2"/>
  <c r="H8" i="2"/>
  <c r="G12" i="2"/>
  <c r="C13" i="2"/>
  <c r="E13" i="2"/>
  <c r="G13" i="2"/>
  <c r="C11" i="2"/>
  <c r="E11" i="2"/>
  <c r="G11" i="2"/>
  <c r="E3" i="1"/>
  <c r="H3" i="1"/>
  <c r="I3" i="1"/>
  <c r="K3" i="1"/>
  <c r="E4" i="1"/>
  <c r="F4" i="1"/>
  <c r="H4" i="1"/>
  <c r="I4" i="1"/>
  <c r="K4" i="1"/>
  <c r="E5" i="1"/>
  <c r="H5" i="1"/>
  <c r="I5" i="1"/>
  <c r="K5" i="1"/>
  <c r="E6" i="1"/>
  <c r="F6" i="1"/>
  <c r="H6" i="1"/>
  <c r="I6" i="1"/>
  <c r="K6" i="1"/>
  <c r="E7" i="1"/>
  <c r="F7" i="1"/>
  <c r="H7" i="1"/>
  <c r="I7" i="1"/>
  <c r="K7" i="1"/>
  <c r="B13" i="1"/>
  <c r="I9" i="1"/>
  <c r="G8" i="2"/>
  <c r="J8" i="2"/>
  <c r="L8" i="2"/>
  <c r="N8" i="2"/>
  <c r="M8" i="2"/>
  <c r="N3" i="2"/>
  <c r="L4" i="2"/>
  <c r="N4" i="2"/>
  <c r="N5" i="2"/>
  <c r="N6" i="2"/>
  <c r="D13" i="2"/>
  <c r="D12" i="2"/>
  <c r="D11" i="2"/>
  <c r="J3" i="1"/>
  <c r="L3" i="1"/>
  <c r="J4" i="1"/>
  <c r="L4" i="1"/>
  <c r="J5" i="1"/>
  <c r="L5" i="1"/>
  <c r="J6" i="1"/>
  <c r="L6" i="1"/>
  <c r="R4" i="1"/>
  <c r="R5" i="1"/>
  <c r="R6" i="1"/>
  <c r="J7" i="1"/>
  <c r="L7" i="1"/>
  <c r="B20" i="1"/>
  <c r="J9" i="1"/>
  <c r="E20" i="1"/>
  <c r="F9" i="1"/>
  <c r="B21" i="1"/>
  <c r="E21" i="1"/>
  <c r="B19" i="1"/>
  <c r="K20" i="1"/>
  <c r="K21" i="1"/>
  <c r="K19" i="1"/>
  <c r="K13" i="1"/>
  <c r="B14" i="1"/>
  <c r="E14" i="1"/>
  <c r="K14" i="1"/>
  <c r="B15" i="1"/>
  <c r="E15" i="1"/>
  <c r="K15" i="1"/>
  <c r="N9" i="1"/>
  <c r="N4" i="1"/>
  <c r="N5" i="1"/>
  <c r="N6" i="1"/>
  <c r="N7" i="1"/>
  <c r="N3" i="1"/>
  <c r="H9" i="1"/>
  <c r="L9" i="1"/>
  <c r="K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tc={05FCB45B-848C-9940-BC85-4C27585D5D9A}</author>
    <author>tc={3635B5EF-8CD4-EA4B-856E-275F01F9A786}</author>
  </authors>
  <commentList>
    <comment ref="N2" authorId="0" shapeId="0" xr:uid="{05FCB45B-848C-9940-BC85-4C27585D5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 Ratio = Stock Price/ EPS
</t>
      </text>
    </comment>
    <comment ref="Q3" authorId="1" shapeId="0" xr:uid="{3635B5EF-8CD4-EA4B-856E-275F01F9A7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EBIT= Inc before income tax exp + Int expenses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tc={1A9F0E6D-BE15-474E-B491-951B07F2309A}</author>
    <author>tc={A870B0A1-B9A8-114B-9EEF-56AF1130D3DD}</author>
    <author>tc={971A59BF-0BF2-6544-BFAA-F5A60A7D667A}</author>
    <author>tc={C4493B71-F4CA-4748-8417-5E7EED5D3342}</author>
  </authors>
  <commentList>
    <comment ref="G8" authorId="0" shapeId="0" xr:uid="{1A9F0E6D-BE15-474E-B491-951B07F230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Taken Average of 5 years </t>
      </text>
    </comment>
    <comment ref="A20" authorId="1" shapeId="0" xr:uid="{A870B0A1-B9A8-114B-9EEF-56AF1130D3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NOWC= (Total Current assets- cash and cash equivalents) - 
(Total current liabilities - long term debt portion )
</t>
      </text>
    </comment>
    <comment ref="N23" authorId="2" shapeId="0" xr:uid="{971A59BF-0BF2-6544-BFAA-F5A60A7D667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>
      </text>
    </comment>
    <comment ref="B32" authorId="3" shapeId="0" xr:uid="{C4493B71-F4CA-4748-8417-5E7EED5D3342}">
      <text>
        <t>[Threaded comment]
Your version of Excel allows you to read this threaded comment; however, any edits to it will get removed if the file is opened in a newer version of Excel. Learn more: https://go.microsoft.com/fwlink/?linkid=870924
Comment:
    Fred rating  is 5.01
Dollar General has an investment-grade "BBB" long-term credit rating from S&amp;P Global Ratings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tc={BAFDAB48-1DBF-B146-802A-CE98E27E2F9E}</author>
    <author>tc={FA390E08-D555-6644-BC89-3A8B50FBE84C}</author>
    <author>tc={771CFBDF-E4DC-134D-B736-B85E997DD4C5}</author>
    <author>tc={B19AC136-1BE6-D240-A7C2-9ED97C07BD18}</author>
  </authors>
  <commentList>
    <comment ref="G8" authorId="0" shapeId="0" xr:uid="{BAFDAB48-1DBF-B146-802A-CE98E27E2F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Taken Average of 5 years </t>
      </text>
    </comment>
    <comment ref="A20" authorId="1" shapeId="0" xr:uid="{FA390E08-D555-6644-BC89-3A8B50FBE8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NOWC= (Total Current assets- cash and cash equivalents) - 
(Total current liabilities - long term debt portion )
</t>
      </text>
    </comment>
    <comment ref="N23" authorId="2" shapeId="0" xr:uid="{771CFBDF-E4DC-134D-B736-B85E997DD4C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>
      </text>
    </comment>
    <comment ref="B32" authorId="3" shapeId="0" xr:uid="{B19AC136-1BE6-D240-A7C2-9ED97C07BD18}">
      <text>
        <t>[Threaded comment]
Your version of Excel allows you to read this threaded comment; however, any edits to it will get removed if the file is opened in a newer version of Excel. Learn more: https://go.microsoft.com/fwlink/?linkid=870924
Comment:
    Fred rating  is 5.01
Dollar General has an investment-grade "BBB" long-term credit rating from S&amp;P Global Ratings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tc={3A9A6E16-1740-784D-A313-623932E33E6C}</author>
    <author>tc={B81AC532-4B9D-D74D-B8F6-919F73F9D811}</author>
    <author>tc={B8ED9063-5828-0D44-A002-F352051A04E1}</author>
    <author>tc={7C4B7D11-7525-1B48-BA66-E4EA229CA1A6}</author>
  </authors>
  <commentList>
    <comment ref="G8" authorId="0" shapeId="0" xr:uid="{3A9A6E16-1740-784D-A313-623932E33E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Taken Average of 5 years </t>
      </text>
    </comment>
    <comment ref="A20" authorId="1" shapeId="0" xr:uid="{B81AC532-4B9D-D74D-B8F6-919F73F9D8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NOWC= (Total Current assets- cash and cash equivalents) - 
(Total current liabilities - long term debt portion )
</t>
      </text>
    </comment>
    <comment ref="N23" authorId="2" shapeId="0" xr:uid="{B8ED9063-5828-0D44-A002-F352051A04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>
      </text>
    </comment>
    <comment ref="B32" authorId="3" shapeId="0" xr:uid="{7C4B7D11-7525-1B48-BA66-E4EA229CA1A6}">
      <text>
        <t>[Threaded comment]
Your version of Excel allows you to read this threaded comment; however, any edits to it will get removed if the file is opened in a newer version of Excel. Learn more: https://go.microsoft.com/fwlink/?linkid=870924
Comment:
    Fred rating  is 5.01
Dollar General has an investment-grade "BBB" long-term credit rating from S&amp;P Global Ratings</t>
      </text>
    </comment>
  </commentList>
</comments>
</file>

<file path=xl/sharedStrings.xml><?xml version="1.0" encoding="utf-8"?>
<sst xmlns="http://schemas.openxmlformats.org/spreadsheetml/2006/main" count="293" uniqueCount="124">
  <si>
    <t>Companies</t>
  </si>
  <si>
    <t>Stock price (USD)</t>
  </si>
  <si>
    <t>Equity</t>
  </si>
  <si>
    <t>Total debt(long term)</t>
  </si>
  <si>
    <t>Cash and Cash Equvivalents</t>
  </si>
  <si>
    <t>Enterprise value</t>
  </si>
  <si>
    <t>Revenue</t>
  </si>
  <si>
    <t>EBIT</t>
  </si>
  <si>
    <t>Enterprise value /Revenue</t>
  </si>
  <si>
    <t>EV/EBIT</t>
  </si>
  <si>
    <t>Dollar Tree</t>
  </si>
  <si>
    <t xml:space="preserve">Ollie's Bargain Outlet Holdings </t>
  </si>
  <si>
    <t>Five Below</t>
  </si>
  <si>
    <t>Ross Stores</t>
  </si>
  <si>
    <t>Burlington Stores</t>
  </si>
  <si>
    <t xml:space="preserve">Dollar General </t>
  </si>
  <si>
    <t>Competition</t>
  </si>
  <si>
    <t xml:space="preserve">Direct </t>
  </si>
  <si>
    <t>Speciatly discount competitor</t>
  </si>
  <si>
    <t>Secondary /off price competitors</t>
  </si>
  <si>
    <t>Shares outstanding (millions)</t>
  </si>
  <si>
    <t>P/E =Market cap/Net Income</t>
  </si>
  <si>
    <t>Millions</t>
  </si>
  <si>
    <t>Fiscal Feb2025 to Jan 2026</t>
  </si>
  <si>
    <t xml:space="preserve">Burlington EBIT calculation </t>
  </si>
  <si>
    <t>10-k</t>
  </si>
  <si>
    <t>10-q 2025</t>
  </si>
  <si>
    <t>10-q 2024</t>
  </si>
  <si>
    <t>EPS</t>
  </si>
  <si>
    <t>PE Ratio</t>
  </si>
  <si>
    <t xml:space="preserve">Enterprise value/revenue </t>
  </si>
  <si>
    <t>Min</t>
  </si>
  <si>
    <t>Average</t>
  </si>
  <si>
    <t>Max</t>
  </si>
  <si>
    <t>Implied EV</t>
  </si>
  <si>
    <t>Implied Equity</t>
  </si>
  <si>
    <t xml:space="preserve">Implied stock price </t>
  </si>
  <si>
    <t>Sales forecast to be assumed for 2026</t>
  </si>
  <si>
    <t>Computations for 2025:</t>
  </si>
  <si>
    <t>Computations for 2026:</t>
  </si>
  <si>
    <t>Revenue multiple</t>
  </si>
  <si>
    <t>EBIT multiple</t>
  </si>
  <si>
    <t>Revenue Multiple</t>
  </si>
  <si>
    <t>Acquiring Company</t>
  </si>
  <si>
    <t xml:space="preserve">Target Company </t>
  </si>
  <si>
    <t>Acquisition Date</t>
  </si>
  <si>
    <t>Acquiring Price</t>
  </si>
  <si>
    <t>Cash</t>
  </si>
  <si>
    <t>Debt</t>
  </si>
  <si>
    <t>EV</t>
  </si>
  <si>
    <t>EV/Revenue</t>
  </si>
  <si>
    <t>EV/ EBIT</t>
  </si>
  <si>
    <t>Precedent Analysis</t>
  </si>
  <si>
    <t>The Michaels Companies</t>
  </si>
  <si>
    <t xml:space="preserve">Apollo Global Management </t>
  </si>
  <si>
    <t>LVMH</t>
  </si>
  <si>
    <t>Tiffany&amp;Co</t>
  </si>
  <si>
    <t xml:space="preserve">Sycamore partner </t>
  </si>
  <si>
    <t xml:space="preserve">Staples </t>
  </si>
  <si>
    <t xml:space="preserve">BC Partners </t>
  </si>
  <si>
    <t xml:space="preserve">Pet smart </t>
  </si>
  <si>
    <t>No.of Shares(in millions)</t>
  </si>
  <si>
    <t>Equity(in millions)</t>
  </si>
  <si>
    <t>Fiscal year</t>
  </si>
  <si>
    <t>52 weeks data provided</t>
  </si>
  <si>
    <t>Comparables</t>
  </si>
  <si>
    <t>EV/Rev</t>
  </si>
  <si>
    <t>Ev/EBIT</t>
  </si>
  <si>
    <t>Avg</t>
  </si>
  <si>
    <t>Sales</t>
  </si>
  <si>
    <t>% Growth</t>
  </si>
  <si>
    <t>EBITDA</t>
  </si>
  <si>
    <t>% Sales</t>
  </si>
  <si>
    <t>Assets</t>
  </si>
  <si>
    <t>Depreciation &amp; Amortization</t>
  </si>
  <si>
    <t>CAPX</t>
  </si>
  <si>
    <t xml:space="preserve">Dep and Amortr as % sales </t>
  </si>
  <si>
    <t xml:space="preserve">Capex as %sales </t>
  </si>
  <si>
    <t>NOWC</t>
  </si>
  <si>
    <t>NOWC as % of sales</t>
  </si>
  <si>
    <t>changes in NOWC</t>
  </si>
  <si>
    <t>FCF</t>
  </si>
  <si>
    <t>FORECAST</t>
  </si>
  <si>
    <t>Beyond 2031</t>
  </si>
  <si>
    <t>Calculation of WACC</t>
  </si>
  <si>
    <t>Wd</t>
  </si>
  <si>
    <t>We</t>
  </si>
  <si>
    <t>rd (BBB rating)</t>
  </si>
  <si>
    <t>re</t>
  </si>
  <si>
    <t>rd(1-t)</t>
  </si>
  <si>
    <t>Book value of debt</t>
  </si>
  <si>
    <t>Market value of equity</t>
  </si>
  <si>
    <t>Total</t>
  </si>
  <si>
    <t>WACC</t>
  </si>
  <si>
    <t>Calculation of CAPM</t>
  </si>
  <si>
    <t>Rf+beta*(MRP)</t>
  </si>
  <si>
    <t xml:space="preserve">Rf </t>
  </si>
  <si>
    <t>beta</t>
  </si>
  <si>
    <t>MRP</t>
  </si>
  <si>
    <t>CAPM</t>
  </si>
  <si>
    <t>Constant g</t>
  </si>
  <si>
    <t xml:space="preserve">Terminal value </t>
  </si>
  <si>
    <t>PV of FCFs</t>
  </si>
  <si>
    <t>PV of TV</t>
  </si>
  <si>
    <t xml:space="preserve">Enterprise value </t>
  </si>
  <si>
    <t>Total Equity</t>
  </si>
  <si>
    <t># shares</t>
  </si>
  <si>
    <t>Stock Price</t>
  </si>
  <si>
    <t>FCF=EBIT*(1-t)+dep-(capex+chnages in nowc)</t>
  </si>
  <si>
    <t xml:space="preserve">Tax rate </t>
  </si>
  <si>
    <t xml:space="preserve">assumed </t>
  </si>
  <si>
    <t>stock price</t>
  </si>
  <si>
    <t xml:space="preserve">Stock Price </t>
  </si>
  <si>
    <t>Baseline</t>
  </si>
  <si>
    <t>Downside</t>
  </si>
  <si>
    <t>Upside</t>
  </si>
  <si>
    <t xml:space="preserve">Sensitivity analysis </t>
  </si>
  <si>
    <t>comps using rev x</t>
  </si>
  <si>
    <t>comps using EBITx</t>
  </si>
  <si>
    <t>precedent transactions using Revx</t>
  </si>
  <si>
    <t>low</t>
  </si>
  <si>
    <t>mid</t>
  </si>
  <si>
    <t>high</t>
  </si>
  <si>
    <t xml:space="preserve">DCF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</si>
</sst>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_(&quot;$&quot;* #,##0_);_(&quot;$&quot;* \(#,##0\);_(&quot;$&quot;* &quot;-&quot;??_);_(@_)"/>
    <numFmt numFmtId="167" formatCode="#,##0.000"/>
    <numFmt numFmtId="168" formatCode="_(* #,##0_);_(* \(#,##0\);_(* &quot;-&quot;??_);_(@_)"/>
    <numFmt numFmtId="169" formatCode="0.0%"/>
    <numFmt numFmtId="170" formatCode="0.00;[Red]0.00"/>
    <numFmt numFmtId="171" formatCode="0.00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43" fontId="3" fillId="2" borderId="1" xfId="1" applyFont="1" applyFill="1" applyBorder="1"/>
    <xf numFmtId="43" fontId="0" fillId="0" borderId="1" xfId="1" applyFont="1" applyBorder="1"/>
    <xf numFmtId="43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0" fontId="4" fillId="0" borderId="1" xfId="0" applyFont="1" applyBorder="1"/>
    <xf numFmtId="2" fontId="3" fillId="0" borderId="1" xfId="0" applyNumberFormat="1" applyFont="1" applyBorder="1"/>
    <xf numFmtId="43" fontId="3" fillId="0" borderId="1" xfId="1" applyFont="1" applyBorder="1"/>
    <xf numFmtId="0" fontId="6" fillId="0" borderId="0" xfId="0" applyFont="1"/>
    <xf numFmtId="0" fontId="6" fillId="0" borderId="1" xfId="0" applyFont="1" applyBorder="1"/>
    <xf numFmtId="43" fontId="6" fillId="0" borderId="1" xfId="1" applyFont="1" applyBorder="1"/>
    <xf numFmtId="43" fontId="6" fillId="0" borderId="0" xfId="1" applyFont="1"/>
    <xf numFmtId="165" fontId="6" fillId="0" borderId="1" xfId="0" applyNumberFormat="1" applyFont="1" applyBorder="1"/>
    <xf numFmtId="43" fontId="6" fillId="0" borderId="1" xfId="0" applyNumberFormat="1" applyFont="1" applyBorder="1"/>
    <xf numFmtId="0" fontId="6" fillId="2" borderId="1" xfId="0" applyFont="1" applyFill="1" applyBorder="1"/>
    <xf numFmtId="0" fontId="7" fillId="0" borderId="0" xfId="0" applyFont="1"/>
    <xf numFmtId="0" fontId="4" fillId="0" borderId="0" xfId="0" applyFont="1"/>
    <xf numFmtId="2" fontId="3" fillId="0" borderId="0" xfId="0" applyNumberFormat="1" applyFont="1"/>
    <xf numFmtId="43" fontId="3" fillId="0" borderId="0" xfId="1" applyFont="1" applyBorder="1"/>
    <xf numFmtId="0" fontId="7" fillId="5" borderId="0" xfId="0" applyFont="1" applyFill="1"/>
    <xf numFmtId="0" fontId="7" fillId="7" borderId="1" xfId="0" applyFont="1" applyFill="1" applyBorder="1"/>
    <xf numFmtId="14" fontId="0" fillId="0" borderId="1" xfId="0" applyNumberFormat="1" applyBorder="1"/>
    <xf numFmtId="166" fontId="7" fillId="7" borderId="1" xfId="2" applyNumberFormat="1" applyFont="1" applyFill="1" applyBorder="1"/>
    <xf numFmtId="166" fontId="0" fillId="0" borderId="1" xfId="2" applyNumberFormat="1" applyFont="1" applyBorder="1"/>
    <xf numFmtId="166" fontId="0" fillId="0" borderId="0" xfId="2" applyNumberFormat="1" applyFont="1"/>
    <xf numFmtId="14" fontId="6" fillId="0" borderId="1" xfId="0" applyNumberFormat="1" applyFont="1" applyBorder="1"/>
    <xf numFmtId="166" fontId="6" fillId="0" borderId="1" xfId="2" applyNumberFormat="1" applyFont="1" applyBorder="1"/>
    <xf numFmtId="167" fontId="6" fillId="0" borderId="1" xfId="0" applyNumberFormat="1" applyFont="1" applyBorder="1"/>
    <xf numFmtId="44" fontId="0" fillId="0" borderId="1" xfId="2" applyFont="1" applyBorder="1"/>
    <xf numFmtId="168" fontId="0" fillId="0" borderId="1" xfId="1" applyNumberFormat="1" applyFont="1" applyBorder="1"/>
    <xf numFmtId="0" fontId="0" fillId="8" borderId="1" xfId="0" applyFill="1" applyBorder="1"/>
    <xf numFmtId="166" fontId="0" fillId="8" borderId="1" xfId="2" applyNumberFormat="1" applyFont="1" applyFill="1" applyBorder="1"/>
    <xf numFmtId="43" fontId="6" fillId="0" borderId="0" xfId="0" applyNumberFormat="1" applyFont="1"/>
    <xf numFmtId="14" fontId="0" fillId="0" borderId="0" xfId="0" applyNumberFormat="1"/>
    <xf numFmtId="166" fontId="0" fillId="0" borderId="0" xfId="2" applyNumberFormat="1" applyFont="1" applyBorder="1"/>
    <xf numFmtId="43" fontId="0" fillId="0" borderId="0" xfId="1" applyFont="1" applyBorder="1"/>
    <xf numFmtId="43" fontId="0" fillId="0" borderId="0" xfId="0" applyNumberFormat="1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6" fillId="10" borderId="1" xfId="0" applyFont="1" applyFill="1" applyBorder="1"/>
    <xf numFmtId="0" fontId="7" fillId="0" borderId="1" xfId="0" applyFont="1" applyBorder="1"/>
    <xf numFmtId="10" fontId="6" fillId="0" borderId="1" xfId="3" applyNumberFormat="1" applyFont="1" applyBorder="1"/>
    <xf numFmtId="0" fontId="6" fillId="1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2" xfId="0" applyFont="1" applyBorder="1"/>
    <xf numFmtId="10" fontId="0" fillId="0" borderId="0" xfId="0" applyNumberFormat="1"/>
    <xf numFmtId="169" fontId="6" fillId="9" borderId="1" xfId="3" applyNumberFormat="1" applyFont="1" applyFill="1" applyBorder="1"/>
    <xf numFmtId="9" fontId="6" fillId="9" borderId="1" xfId="3" applyFont="1" applyFill="1" applyBorder="1"/>
    <xf numFmtId="10" fontId="6" fillId="9" borderId="1" xfId="0" applyNumberFormat="1" applyFont="1" applyFill="1" applyBorder="1"/>
    <xf numFmtId="0" fontId="7" fillId="6" borderId="1" xfId="0" applyFont="1" applyFill="1" applyBorder="1"/>
    <xf numFmtId="0" fontId="2" fillId="6" borderId="0" xfId="0" applyFont="1" applyFill="1"/>
    <xf numFmtId="10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9" fontId="8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9" fontId="0" fillId="0" borderId="1" xfId="3" applyNumberFormat="1" applyFont="1" applyBorder="1" applyAlignment="1">
      <alignment horizontal="right"/>
    </xf>
    <xf numFmtId="9" fontId="0" fillId="0" borderId="0" xfId="0" applyNumberFormat="1" applyAlignment="1">
      <alignment horizontal="right"/>
    </xf>
    <xf numFmtId="170" fontId="8" fillId="0" borderId="0" xfId="0" applyNumberFormat="1" applyFont="1" applyAlignment="1">
      <alignment horizontal="right"/>
    </xf>
    <xf numFmtId="9" fontId="0" fillId="0" borderId="0" xfId="0" applyNumberFormat="1"/>
    <xf numFmtId="43" fontId="6" fillId="9" borderId="1" xfId="0" applyNumberFormat="1" applyFont="1" applyFill="1" applyBorder="1"/>
    <xf numFmtId="10" fontId="0" fillId="0" borderId="1" xfId="3" applyNumberFormat="1" applyFont="1" applyBorder="1" applyAlignment="1">
      <alignment horizontal="right"/>
    </xf>
    <xf numFmtId="10" fontId="8" fillId="0" borderId="1" xfId="3" applyNumberFormat="1" applyFont="1" applyBorder="1" applyAlignment="1">
      <alignment horizontal="right"/>
    </xf>
    <xf numFmtId="0" fontId="0" fillId="0" borderId="1" xfId="3" applyNumberFormat="1" applyFont="1" applyBorder="1" applyAlignment="1">
      <alignment horizontal="right"/>
    </xf>
    <xf numFmtId="165" fontId="8" fillId="0" borderId="1" xfId="3" applyNumberFormat="1" applyFont="1" applyBorder="1" applyAlignment="1">
      <alignment horizontal="right"/>
    </xf>
    <xf numFmtId="43" fontId="0" fillId="0" borderId="1" xfId="1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169" fontId="0" fillId="0" borderId="0" xfId="0" applyNumberFormat="1"/>
    <xf numFmtId="9" fontId="5" fillId="9" borderId="1" xfId="0" applyNumberFormat="1" applyFont="1" applyFill="1" applyBorder="1" applyAlignment="1">
      <alignment horizontal="right"/>
    </xf>
    <xf numFmtId="8" fontId="0" fillId="9" borderId="1" xfId="0" applyNumberFormat="1" applyFill="1" applyBorder="1" applyAlignment="1">
      <alignment horizontal="right"/>
    </xf>
    <xf numFmtId="8" fontId="0" fillId="0" borderId="0" xfId="0" applyNumberFormat="1"/>
    <xf numFmtId="10" fontId="0" fillId="0" borderId="0" xfId="3" applyNumberFormat="1" applyFont="1"/>
    <xf numFmtId="169" fontId="0" fillId="0" borderId="0" xfId="3" applyNumberFormat="1" applyFont="1"/>
    <xf numFmtId="171" fontId="0" fillId="0" borderId="1" xfId="3" applyNumberFormat="1" applyFont="1" applyBorder="1" applyAlignment="1">
      <alignment horizontal="right"/>
    </xf>
    <xf numFmtId="1" fontId="0" fillId="0" borderId="1" xfId="0" applyNumberFormat="1" applyBorder="1"/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4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wrapText="1"/>
    </xf>
    <xf numFmtId="0" fontId="7" fillId="8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9" fontId="8" fillId="0" borderId="1" xfId="0" applyNumberFormat="1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Comparables!$K$2</c:f>
              <c:strCache>
                <c:ptCount val="1"/>
                <c:pt idx="0">
                  <c:v>Enterprise value /Revenue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Comparables!$B$3:$B$9</c:f>
              <c:strCache>
                <c:ptCount val="7"/>
                <c:pt idx="0">
                  <c:v>Dollar Tree</c:v>
                </c:pt>
                <c:pt idx="1">
                  <c:v>Ollie's Bargain Outlet Holdings </c:v>
                </c:pt>
                <c:pt idx="2">
                  <c:v>Five Below</c:v>
                </c:pt>
                <c:pt idx="3">
                  <c:v>Ross Stores</c:v>
                </c:pt>
                <c:pt idx="4">
                  <c:v>Burlington Stores</c:v>
                </c:pt>
                <c:pt idx="6">
                  <c:v>Dollar General </c:v>
                </c:pt>
              </c:strCache>
            </c:strRef>
          </c:cat>
          <c:val>
            <c:numRef>
              <c:f>Comparables!$K$3:$K$9</c:f>
              <c:numCache>
                <c:formatCode>0.000</c:formatCode>
                <c:ptCount val="7"/>
                <c:pt idx="0">
                  <c:v>1.0613835298176391</c:v>
                </c:pt>
                <c:pt idx="1">
                  <c:v>3.015638885133336</c:v>
                </c:pt>
                <c:pt idx="2">
                  <c:v>1.8071187430720781</c:v>
                </c:pt>
                <c:pt idx="3">
                  <c:v>2.170768913239232</c:v>
                </c:pt>
                <c:pt idx="4">
                  <c:v>1.626278612433959</c:v>
                </c:pt>
                <c:pt idx="6">
                  <c:v>0.65611488857990297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E-DA43-A585-DF387BB1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8623280"/>
        <c:axId val="138625968"/>
      </c:barChart>
      <c:catAx>
        <c:axId val="13862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5968"/>
        <c:crosses val="autoZero"/>
        <c:auto val="1"/>
        <c:lblAlgn val="ctr"/>
        <c:lblOffset val="100"/>
        <c:noMultiLvlLbl val="0"/>
      </c:catAx>
      <c:valAx>
        <c:axId val="1386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Comparables!$L$2</c:f>
              <c:strCache>
                <c:ptCount val="1"/>
                <c:pt idx="0">
                  <c:v>EV/EBIT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Comparables!$B$3:$B$9</c:f>
              <c:strCache>
                <c:ptCount val="7"/>
                <c:pt idx="0">
                  <c:v>Dollar Tree</c:v>
                </c:pt>
                <c:pt idx="1">
                  <c:v>Ollie's Bargain Outlet Holdings </c:v>
                </c:pt>
                <c:pt idx="2">
                  <c:v>Five Below</c:v>
                </c:pt>
                <c:pt idx="3">
                  <c:v>Ross Stores</c:v>
                </c:pt>
                <c:pt idx="4">
                  <c:v>Burlington Stores</c:v>
                </c:pt>
                <c:pt idx="6">
                  <c:v>Dollar General </c:v>
                </c:pt>
              </c:strCache>
            </c:strRef>
          </c:cat>
          <c:val>
            <c:numRef>
              <c:f>Comparables!$L$3:$L$9</c:f>
              <c:numCache>
                <c:formatCode>_(* #,##0.00_);_(* \(#,##0.00\);_(* "-"??_);_(@_)</c:formatCode>
                <c:ptCount val="7"/>
                <c:pt idx="0">
                  <c:v>13.309336217385429</c:v>
                </c:pt>
                <c:pt idx="1">
                  <c:v>27.733488039124811</c:v>
                </c:pt>
                <c:pt idx="2">
                  <c:v>21.889888942954457</c:v>
                </c:pt>
                <c:pt idx="3">
                  <c:v>18.087889327995832</c:v>
                </c:pt>
                <c:pt idx="4">
                  <c:v>22.529852168926805</c:v>
                </c:pt>
                <c:pt idx="6">
                  <c:v>15.27103334415543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5-C848-8426-8CE3A3A24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9361664"/>
        <c:axId val="1136891695"/>
      </c:barChart>
      <c:catAx>
        <c:axId val="21936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891695"/>
        <c:crosses val="autoZero"/>
        <c:auto val="1"/>
        <c:lblAlgn val="ctr"/>
        <c:lblOffset val="100"/>
        <c:noMultiLvlLbl val="0"/>
      </c:catAx>
      <c:valAx>
        <c:axId val="113689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</a:t>
            </a:r>
            <a:r>
              <a:rPr lang="en-US" baseline="0"/>
              <a:t> Field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'Football Field'!$B$5:$B$10</c:f>
              <c:strCache>
                <c:ptCount val="6"/>
                <c:pt idx="0">
                  <c:v>comps using rev x</c:v>
                </c:pt>
                <c:pt idx="1">
                  <c:v>comps using EBITx</c:v>
                </c:pt>
                <c:pt idx="3">
                  <c:v>precedent transactions using Revx</c:v>
                </c:pt>
                <c:pt idx="5">
                  <c:v>DCF </c:v>
                </c:pt>
              </c:strCache>
            </c:strRef>
          </c:cat>
          <c:val>
            <c:numRef>
              <c:f>'Football Field'!$C$5:$C$10</c:f>
              <c:numCache>
                <c:formatCode>0</c:formatCode>
                <c:ptCount val="6"/>
                <c:pt idx="0">
                  <c:v>180.26549721608478</c:v>
                </c:pt>
                <c:pt idx="1">
                  <c:v>87.788763094337156</c:v>
                </c:pt>
                <c:pt idx="3">
                  <c:v>42.715625042928998</c:v>
                </c:pt>
                <c:pt idx="5">
                  <c:v>85.81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8-324E-9926-7654CA32C44F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'Football Field'!$B$5:$B$10</c:f>
              <c:strCache>
                <c:ptCount val="6"/>
                <c:pt idx="0">
                  <c:v>comps using rev x</c:v>
                </c:pt>
                <c:pt idx="1">
                  <c:v>comps using EBITx</c:v>
                </c:pt>
                <c:pt idx="3">
                  <c:v>precedent transactions using Revx</c:v>
                </c:pt>
                <c:pt idx="5">
                  <c:v>DCF </c:v>
                </c:pt>
              </c:strCache>
            </c:strRef>
          </c:cat>
          <c:val>
            <c:numRef>
              <c:f>'Football Field'!$D$5:$D$10</c:f>
              <c:numCache>
                <c:formatCode>0</c:formatCode>
                <c:ptCount val="6"/>
                <c:pt idx="0">
                  <c:v>345.52599849227164</c:v>
                </c:pt>
                <c:pt idx="1">
                  <c:v>147.85367709151251</c:v>
                </c:pt>
                <c:pt idx="3">
                  <c:v>311.0214937987223</c:v>
                </c:pt>
                <c:pt idx="5">
                  <c:v>84.595323695891409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8-324E-9926-7654CA32C44F}"/>
            </c:ext>
          </c:extLst>
        </c:ser>
        <c:ser>
          <c:idx val="2"/>
          <c:order val="2"/>
          <c:tx>
            <c:strRef>
              <c:f>'Football Field'!$E$4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'Football Field'!$B$5:$B$10</c:f>
              <c:strCache>
                <c:ptCount val="6"/>
                <c:pt idx="0">
                  <c:v>comps using rev x</c:v>
                </c:pt>
                <c:pt idx="1">
                  <c:v>comps using EBITx</c:v>
                </c:pt>
                <c:pt idx="3">
                  <c:v>precedent transactions using Revx</c:v>
                </c:pt>
                <c:pt idx="5">
                  <c:v>DCF </c:v>
                </c:pt>
              </c:strCache>
            </c:strRef>
          </c:cat>
          <c:val>
            <c:numRef>
              <c:f>'Football Field'!$E$5:$E$10</c:f>
              <c:numCache>
                <c:formatCode>0</c:formatCode>
                <c:ptCount val="6"/>
                <c:pt idx="0">
                  <c:v>549.42554363977786</c:v>
                </c:pt>
                <c:pt idx="1">
                  <c:v>549.42554363977786</c:v>
                </c:pt>
                <c:pt idx="3">
                  <c:v>838.71713961892647</c:v>
                </c:pt>
                <c:pt idx="5">
                  <c:v>86.886466318084359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8-324E-9926-7654CA32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022495"/>
        <c:axId val="589024767"/>
      </c:barChart>
      <c:catAx>
        <c:axId val="58902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024767"/>
        <c:crosses val="autoZero"/>
        <c:auto val="1"/>
        <c:lblAlgn val="ctr"/>
        <c:lblOffset val="100"/>
        <c:noMultiLvlLbl val="0"/>
      </c:catAx>
      <c:valAx>
        <c:axId val="5890247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02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401040</xdr:colOff>
      <xdr:row>38</xdr:row>
      <xdr:rowOff>104966</xdr:rowOff>
    </xdr:from>
    <xdr:to>
      <xdr:col>8</xdr:col>
      <xdr:colOff>135434</xdr:colOff>
      <xdr:row>52</xdr:row>
      <xdr:rowOff>63348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2175B-60E3-2958-5FF7-C649B11C4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783944</xdr:colOff>
      <xdr:row>38</xdr:row>
      <xdr:rowOff>43947</xdr:rowOff>
    </xdr:from>
    <xdr:to>
      <xdr:col>3</xdr:col>
      <xdr:colOff>1984267</xdr:colOff>
      <xdr:row>51</xdr:row>
      <xdr:rowOff>201243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526EAA-C8F2-E215-DDF6-98767D243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1004116</xdr:colOff>
      <xdr:row>10</xdr:row>
      <xdr:rowOff>154629</xdr:rowOff>
    </xdr:from>
    <xdr:to>
      <xdr:col>6</xdr:col>
      <xdr:colOff>28221</xdr:colOff>
      <xdr:row>24</xdr:row>
      <xdr:rowOff>90460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163C0-6626-61EE-04CE-51A6FEDCB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eksha M" id="{4E3676CE-AC8B-5140-9B02-C6C81BAD835E}" userId="c5703df471173b2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10-07T19:43:57.47" personId="{4E3676CE-AC8B-5140-9B02-C6C81BAD835E}" id="{05FCB45B-848C-9940-BC85-4C27585D5D9A}">
    <text xml:space="preserve">PE Ratio = Stock Price/ EPS
</text>
  </threadedComment>
  <threadedComment ref="Q3" dT="2025-10-07T18:23:23.87" personId="{4E3676CE-AC8B-5140-9B02-C6C81BAD835E}" id="{3635B5EF-8CD4-EA4B-856E-275F01F9A786}">
    <text xml:space="preserve">EBIT= Inc before income tax exp + Int expenses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8" dT="2025-10-10T10:44:34.62" personId="{4E3676CE-AC8B-5140-9B02-C6C81BAD835E}" id="{1A9F0E6D-BE15-474E-B491-951B07F2309A}">
    <text xml:space="preserve">Taken Average of 5 years </text>
  </threadedComment>
  <threadedComment ref="A20" dT="2025-10-10T07:54:11.18" personId="{4E3676CE-AC8B-5140-9B02-C6C81BAD835E}" id="{A870B0A1-B9A8-114B-9EEF-56AF1130D3DD}">
    <text xml:space="preserve">NOWC= (Total Current assets- cash and cash equivalents) - 
(Total current liabilities - long term debt portion )
</text>
  </threadedComment>
  <threadedComment ref="N23" dT="2025-10-10T11:47:48.10" personId="{4E3676CE-AC8B-5140-9B02-C6C81BAD835E}" id="{971A59BF-0BF2-6544-BFAA-F5A60A7D667A}">
    <text>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ext>
  </threadedComment>
  <threadedComment ref="B32" dT="2025-10-10T12:50:53.98" personId="{4E3676CE-AC8B-5140-9B02-C6C81BAD835E}" id="{C4493B71-F4CA-4748-8417-5E7EED5D3342}">
    <text>Fred rating  is 5.01
Dollar General has an investment-grade "BBB" long-term credit rating from S&amp;P Global Ratings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8" dT="2025-10-10T10:44:34.62" personId="{4E3676CE-AC8B-5140-9B02-C6C81BAD835E}" id="{BAFDAB48-1DBF-B146-802A-CE98E27E2F9E}">
    <text xml:space="preserve">Taken Average of 5 years </text>
  </threadedComment>
  <threadedComment ref="A20" dT="2025-10-10T07:54:11.18" personId="{4E3676CE-AC8B-5140-9B02-C6C81BAD835E}" id="{FA390E08-D555-6644-BC89-3A8B50FBE84C}">
    <text xml:space="preserve">NOWC= (Total Current assets- cash and cash equivalents) - 
(Total current liabilities - long term debt portion )
</text>
  </threadedComment>
  <threadedComment ref="N23" dT="2025-10-10T11:47:48.10" personId="{4E3676CE-AC8B-5140-9B02-C6C81BAD835E}" id="{771CFBDF-E4DC-134D-B736-B85E997DD4C5}">
    <text>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ext>
  </threadedComment>
  <threadedComment ref="B32" dT="2025-10-10T12:50:53.98" personId="{4E3676CE-AC8B-5140-9B02-C6C81BAD835E}" id="{B19AC136-1BE6-D240-A7C2-9ED97C07BD18}">
    <text>Fred rating  is 5.01
Dollar General has an investment-grade "BBB" long-term credit rating from S&amp;P Global Ratings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8" dT="2025-10-10T10:44:34.62" personId="{4E3676CE-AC8B-5140-9B02-C6C81BAD835E}" id="{3A9A6E16-1740-784D-A313-623932E33E6C}">
    <text xml:space="preserve">Taken Average of 5 years </text>
  </threadedComment>
  <threadedComment ref="A20" dT="2025-10-10T07:54:11.18" personId="{4E3676CE-AC8B-5140-9B02-C6C81BAD835E}" id="{B81AC532-4B9D-D74D-B8F6-919F73F9D811}">
    <text xml:space="preserve">NOWC= (Total Current assets- cash and cash equivalents) - 
(Total current liabilities - long term debt portion )
</text>
  </threadedComment>
  <threadedComment ref="N23" dT="2025-10-10T11:47:48.10" personId="{4E3676CE-AC8B-5140-9B02-C6C81BAD835E}" id="{B8ED9063-5828-0D44-A002-F352051A04E1}">
    <text>The effective income tax rate for 2024 was 21.8% compared to a rate of 21.6% for 2023 which represents a net increase of 0.2 percentage points. The effective income tax rate was higher in 2024 primarily due to a higher state effective tax rate and a decreased benefit from stock-based compensation partially offset by the effect of certain rate-impacting items on lower earnings before taxes.</text>
  </threadedComment>
  <threadedComment ref="B32" dT="2025-10-10T12:50:53.98" personId="{4E3676CE-AC8B-5140-9B02-C6C81BAD835E}" id="{7C4B7D11-7525-1B48-BA66-E4EA229CA1A6}">
    <text>Fred rating  is 5.01
Dollar General has an investment-grade "BBB" long-term credit rating from S&amp;P Global Ratings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EA5B-F7C4-804F-AE56-3E1D9D80C352}">
  <dimension ref="A1:S37"/>
  <sheetViews>
    <sheetView tabSelected="1" zoomScale="75" zoomScaleNormal="114" workbookViewId="0">
      <selection activeCell="A2" sqref="A2"/>
    </sheetView>
  </sheetViews>
  <sheetFormatPr baseColWidth="10" defaultRowHeight="16" x14ac:dyDescent="0.2"/>
  <cols>
    <col min="1" max="1" width="29.1640625" style="13" bestFit="1" customWidth="1"/>
    <col min="2" max="2" width="27.33203125" style="13" bestFit="1" customWidth="1"/>
    <col min="3" max="3" width="16.83203125" style="13" bestFit="1" customWidth="1"/>
    <col min="4" max="4" width="27.5" style="13" bestFit="1" customWidth="1"/>
    <col min="5" max="5" width="14.5" style="13" bestFit="1" customWidth="1"/>
    <col min="6" max="6" width="19.6640625" style="13" bestFit="1" customWidth="1"/>
    <col min="7" max="7" width="26.6640625" style="13" bestFit="1" customWidth="1"/>
    <col min="8" max="8" width="17" style="16" bestFit="1" customWidth="1"/>
    <col min="9" max="9" width="11.5" style="13" bestFit="1" customWidth="1"/>
    <col min="10" max="10" width="10.83203125" style="13"/>
    <col min="11" max="11" width="23.83203125" style="13" bestFit="1" customWidth="1"/>
    <col min="12" max="14" width="10.83203125" style="13"/>
    <col min="15" max="15" width="26.33203125" style="13" bestFit="1" customWidth="1"/>
    <col min="16" max="16" width="10.83203125" style="13"/>
    <col min="17" max="17" width="11.6640625" style="13" bestFit="1" customWidth="1"/>
    <col min="18" max="16384" width="10.83203125" style="13"/>
  </cols>
  <sheetData>
    <row r="1" spans="1:19" x14ac:dyDescent="0.2">
      <c r="E1" s="87" t="s">
        <v>22</v>
      </c>
      <c r="F1" s="87"/>
      <c r="G1" s="87"/>
      <c r="H1" s="87"/>
      <c r="I1" s="87" t="s">
        <v>22</v>
      </c>
      <c r="J1" s="87"/>
    </row>
    <row r="2" spans="1:19" x14ac:dyDescent="0.2">
      <c r="A2" s="1" t="s">
        <v>16</v>
      </c>
      <c r="B2" s="1" t="s">
        <v>0</v>
      </c>
      <c r="C2" s="1" t="s">
        <v>1</v>
      </c>
      <c r="D2" s="1" t="s">
        <v>20</v>
      </c>
      <c r="E2" s="1" t="s">
        <v>2</v>
      </c>
      <c r="F2" s="1" t="s">
        <v>3</v>
      </c>
      <c r="G2" s="1" t="s">
        <v>4</v>
      </c>
      <c r="H2" s="5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28</v>
      </c>
      <c r="N2" s="1" t="s">
        <v>29</v>
      </c>
      <c r="O2" s="9" t="s">
        <v>21</v>
      </c>
      <c r="Q2" s="85" t="s">
        <v>24</v>
      </c>
      <c r="R2" s="85"/>
      <c r="S2" s="85"/>
    </row>
    <row r="3" spans="1:19" x14ac:dyDescent="0.2">
      <c r="A3" s="14" t="s">
        <v>17</v>
      </c>
      <c r="B3" s="14" t="s">
        <v>10</v>
      </c>
      <c r="C3" s="15">
        <v>85.04</v>
      </c>
      <c r="D3" s="15">
        <v>210.8</v>
      </c>
      <c r="E3" s="15">
        <f>C3*D3</f>
        <v>17926.432000000001</v>
      </c>
      <c r="F3" s="15">
        <v>2429.6999999999998</v>
      </c>
      <c r="G3" s="15">
        <v>666.3</v>
      </c>
      <c r="H3" s="15">
        <f>E3+F3-G3</f>
        <v>19689.832000000002</v>
      </c>
      <c r="I3" s="16">
        <f>17578.5+9210.1-8237.5</f>
        <v>18551.099999999999</v>
      </c>
      <c r="J3" s="14">
        <f>1462+615.1-597.7</f>
        <v>1479.3999999999999</v>
      </c>
      <c r="K3" s="17">
        <f>H3/I3</f>
        <v>1.0613835298176391</v>
      </c>
      <c r="L3" s="18">
        <f>H3/J3</f>
        <v>13.309336217385429</v>
      </c>
      <c r="M3" s="14">
        <v>4.83</v>
      </c>
      <c r="N3" s="18">
        <f>C3/M3</f>
        <v>17.606625258799173</v>
      </c>
    </row>
    <row r="4" spans="1:19" x14ac:dyDescent="0.2">
      <c r="A4" s="14" t="s">
        <v>17</v>
      </c>
      <c r="B4" s="14" t="s">
        <v>11</v>
      </c>
      <c r="C4" s="15">
        <v>122.81</v>
      </c>
      <c r="D4" s="15">
        <v>61.805999999999997</v>
      </c>
      <c r="E4" s="15">
        <f t="shared" ref="E4:E7" si="0">C4*D4</f>
        <v>7590.3948599999994</v>
      </c>
      <c r="F4" s="15">
        <f>0.518+0.912</f>
        <v>1.4300000000000002</v>
      </c>
      <c r="G4" s="15">
        <v>231.16300000000001</v>
      </c>
      <c r="H4" s="15">
        <f t="shared" ref="H4:H7" si="1">E4+F4-G4</f>
        <v>7360.6618600000002</v>
      </c>
      <c r="I4" s="15">
        <f>2271.7+1256.323-1087.193</f>
        <v>2440.83</v>
      </c>
      <c r="J4" s="14">
        <f>249.503+133.16-117.256</f>
        <v>265.40700000000004</v>
      </c>
      <c r="K4" s="17">
        <f t="shared" ref="K4:K7" si="2">H4/I4</f>
        <v>3.015638885133336</v>
      </c>
      <c r="L4" s="18">
        <f t="shared" ref="L4:L7" si="3">H4/J4</f>
        <v>27.733488039124811</v>
      </c>
      <c r="M4" s="14">
        <v>3.23</v>
      </c>
      <c r="N4" s="18">
        <f t="shared" ref="N4:N7" si="4">C4/M4</f>
        <v>38.021671826625386</v>
      </c>
      <c r="Q4" s="13" t="s">
        <v>25</v>
      </c>
      <c r="R4" s="13">
        <f>674.814+69.522</f>
        <v>744.33600000000001</v>
      </c>
    </row>
    <row r="5" spans="1:19" x14ac:dyDescent="0.2">
      <c r="A5" s="14" t="s">
        <v>18</v>
      </c>
      <c r="B5" s="14" t="s">
        <v>12</v>
      </c>
      <c r="C5" s="15">
        <v>148.5</v>
      </c>
      <c r="D5" s="15">
        <v>55.289000000000001</v>
      </c>
      <c r="E5" s="15">
        <f t="shared" si="0"/>
        <v>8210.4164999999994</v>
      </c>
      <c r="F5" s="15">
        <v>0</v>
      </c>
      <c r="G5" s="15">
        <v>562.74599999999998</v>
      </c>
      <c r="H5" s="15">
        <f t="shared" si="1"/>
        <v>7647.6704999999993</v>
      </c>
      <c r="I5" s="15">
        <f>3876.527+1997.374-1641.932</f>
        <v>4231.9690000000001</v>
      </c>
      <c r="J5" s="14">
        <f>323.817+103.212-77.659</f>
        <v>349.37</v>
      </c>
      <c r="K5" s="17">
        <f t="shared" si="2"/>
        <v>1.8071187430720781</v>
      </c>
      <c r="L5" s="18">
        <f t="shared" si="3"/>
        <v>21.889888942954457</v>
      </c>
      <c r="M5" s="14">
        <v>4.5999999999999996</v>
      </c>
      <c r="N5" s="18">
        <f t="shared" si="4"/>
        <v>32.282608695652179</v>
      </c>
      <c r="O5" s="13" t="s">
        <v>23</v>
      </c>
      <c r="Q5" s="13" t="s">
        <v>26</v>
      </c>
      <c r="R5" s="13">
        <f>260.196+33.237</f>
        <v>293.43300000000005</v>
      </c>
    </row>
    <row r="6" spans="1:19" x14ac:dyDescent="0.2">
      <c r="A6" s="14" t="s">
        <v>19</v>
      </c>
      <c r="B6" s="14" t="s">
        <v>13</v>
      </c>
      <c r="C6" s="15">
        <v>150.34</v>
      </c>
      <c r="D6" s="15">
        <v>325.90899999999999</v>
      </c>
      <c r="E6" s="15">
        <f t="shared" si="0"/>
        <v>48997.159059999998</v>
      </c>
      <c r="F6" s="15">
        <f>499.122+1017.2</f>
        <v>1516.3220000000001</v>
      </c>
      <c r="G6" s="15">
        <v>3847.0160000000001</v>
      </c>
      <c r="H6" s="15">
        <f t="shared" si="1"/>
        <v>46666.465059999995</v>
      </c>
      <c r="I6" s="15">
        <f>21129.129+10514.123-10145.586</f>
        <v>21497.666000000001</v>
      </c>
      <c r="J6" s="14">
        <f>2585.586+1244.744-1250.346</f>
        <v>2579.9839999999999</v>
      </c>
      <c r="K6" s="17">
        <f t="shared" si="2"/>
        <v>2.170768913239232</v>
      </c>
      <c r="L6" s="18">
        <f t="shared" si="3"/>
        <v>18.087889327995832</v>
      </c>
      <c r="M6" s="14">
        <v>6.32</v>
      </c>
      <c r="N6" s="18">
        <f t="shared" si="4"/>
        <v>23.787974683544302</v>
      </c>
      <c r="Q6" s="13" t="s">
        <v>27</v>
      </c>
      <c r="R6" s="13">
        <f>209.306+33.231</f>
        <v>242.53700000000001</v>
      </c>
    </row>
    <row r="7" spans="1:19" x14ac:dyDescent="0.2">
      <c r="A7" s="14" t="s">
        <v>19</v>
      </c>
      <c r="B7" s="14" t="s">
        <v>14</v>
      </c>
      <c r="C7" s="15">
        <v>259.89999999999998</v>
      </c>
      <c r="D7" s="15">
        <v>63.966000000000001</v>
      </c>
      <c r="E7" s="15">
        <f t="shared" si="0"/>
        <v>16624.7634</v>
      </c>
      <c r="F7" s="15">
        <f>19.896+2019.4</f>
        <v>2039.296</v>
      </c>
      <c r="G7" s="15">
        <v>747.6</v>
      </c>
      <c r="H7" s="15">
        <f t="shared" si="1"/>
        <v>17916.4594</v>
      </c>
      <c r="I7" s="15">
        <f>10634.823+5209.092-4827.07</f>
        <v>11016.845000000001</v>
      </c>
      <c r="J7" s="14">
        <f>R4+R5-R6</f>
        <v>795.23199999999997</v>
      </c>
      <c r="K7" s="17">
        <f t="shared" si="2"/>
        <v>1.626278612433959</v>
      </c>
      <c r="L7" s="18">
        <f t="shared" si="3"/>
        <v>22.529852168926805</v>
      </c>
      <c r="M7" s="14">
        <v>7.8</v>
      </c>
      <c r="N7" s="18">
        <f t="shared" si="4"/>
        <v>33.320512820512818</v>
      </c>
    </row>
    <row r="8" spans="1:19" x14ac:dyDescent="0.2">
      <c r="A8" s="14"/>
      <c r="B8" s="14"/>
      <c r="C8" s="15"/>
      <c r="D8" s="15"/>
      <c r="E8" s="15"/>
      <c r="F8" s="15"/>
      <c r="G8" s="15"/>
      <c r="H8" s="15"/>
      <c r="I8" s="15"/>
      <c r="J8" s="14"/>
      <c r="K8" s="14"/>
      <c r="L8" s="14"/>
      <c r="M8" s="14"/>
      <c r="N8" s="14"/>
    </row>
    <row r="9" spans="1:19" x14ac:dyDescent="0.2">
      <c r="A9" s="14"/>
      <c r="B9" s="19" t="s">
        <v>15</v>
      </c>
      <c r="C9" s="15">
        <v>103.71</v>
      </c>
      <c r="D9" s="15">
        <v>220.495</v>
      </c>
      <c r="E9" s="15">
        <f>C9*D9</f>
        <v>22867.53645</v>
      </c>
      <c r="F9" s="15">
        <f>19.326+5726</f>
        <v>5745.326</v>
      </c>
      <c r="G9" s="15">
        <v>1284.5999999999999</v>
      </c>
      <c r="H9" s="15">
        <f>E9+F9-G9</f>
        <v>27328.262450000002</v>
      </c>
      <c r="I9" s="15">
        <f>40612.308+21163.716-20124.382</f>
        <v>41651.641999999993</v>
      </c>
      <c r="J9" s="14">
        <f>1714.074+1171.541-1096.066</f>
        <v>1789.5489999999998</v>
      </c>
      <c r="K9" s="17">
        <f>H9/I9</f>
        <v>0.65611488857990297</v>
      </c>
      <c r="L9" s="18">
        <f>H9/J9</f>
        <v>15.27103334415543</v>
      </c>
      <c r="M9" s="14">
        <v>7.55</v>
      </c>
      <c r="N9" s="18">
        <f>C9/M9</f>
        <v>13.736423841059603</v>
      </c>
    </row>
    <row r="11" spans="1:19" x14ac:dyDescent="0.2">
      <c r="A11" s="20" t="s">
        <v>38</v>
      </c>
      <c r="B11" s="24" t="s">
        <v>40</v>
      </c>
    </row>
    <row r="12" spans="1:19" x14ac:dyDescent="0.2">
      <c r="A12" s="86" t="s">
        <v>30</v>
      </c>
      <c r="B12" s="86"/>
      <c r="D12" s="86" t="s">
        <v>34</v>
      </c>
      <c r="E12" s="86"/>
      <c r="G12" s="86" t="s">
        <v>35</v>
      </c>
      <c r="H12" s="86"/>
      <c r="J12" s="86" t="s">
        <v>36</v>
      </c>
      <c r="K12" s="86"/>
    </row>
    <row r="13" spans="1:19" x14ac:dyDescent="0.2">
      <c r="A13" s="10" t="s">
        <v>31</v>
      </c>
      <c r="B13" s="11">
        <f>MIN(K3:K7)</f>
        <v>1.0613835298176391</v>
      </c>
      <c r="D13" s="10" t="s">
        <v>31</v>
      </c>
      <c r="E13" s="12">
        <f>B13*$I$9</f>
        <v>44208.366808660619</v>
      </c>
      <c r="G13" s="10" t="s">
        <v>31</v>
      </c>
      <c r="H13" s="12">
        <f>E13+$G$9-$F$9</f>
        <v>39747.640808660617</v>
      </c>
      <c r="J13" s="10" t="s">
        <v>31</v>
      </c>
      <c r="K13" s="12">
        <f>H13/$D$9</f>
        <v>180.26549721608478</v>
      </c>
    </row>
    <row r="14" spans="1:19" x14ac:dyDescent="0.2">
      <c r="A14" s="10" t="s">
        <v>32</v>
      </c>
      <c r="B14" s="11">
        <f>AVERAGE(K3:K7)</f>
        <v>1.9362377367392489</v>
      </c>
      <c r="D14" s="10" t="s">
        <v>32</v>
      </c>
      <c r="E14" s="12">
        <f t="shared" ref="E14:E15" si="5">B14*$I$9</f>
        <v>80647.481037553429</v>
      </c>
      <c r="G14" s="10" t="s">
        <v>32</v>
      </c>
      <c r="H14" s="12">
        <f t="shared" ref="H14:H15" si="6">E14+$G$9-$F$9</f>
        <v>76186.755037553434</v>
      </c>
      <c r="J14" s="10" t="s">
        <v>32</v>
      </c>
      <c r="K14" s="12">
        <f t="shared" ref="K14:K15" si="7">H14/$D$9</f>
        <v>345.52599849227164</v>
      </c>
    </row>
    <row r="15" spans="1:19" x14ac:dyDescent="0.2">
      <c r="A15" s="10" t="s">
        <v>33</v>
      </c>
      <c r="B15" s="11">
        <f>MAX(K3:K7)</f>
        <v>3.015638885133336</v>
      </c>
      <c r="D15" s="10" t="s">
        <v>33</v>
      </c>
      <c r="E15" s="12">
        <f t="shared" si="5"/>
        <v>125606.31124485281</v>
      </c>
      <c r="G15" s="10" t="s">
        <v>33</v>
      </c>
      <c r="H15" s="12">
        <f t="shared" si="6"/>
        <v>121145.58524485282</v>
      </c>
      <c r="J15" s="10" t="s">
        <v>33</v>
      </c>
      <c r="K15" s="12">
        <f t="shared" si="7"/>
        <v>549.42554363977786</v>
      </c>
    </row>
    <row r="16" spans="1:19" x14ac:dyDescent="0.2">
      <c r="A16" s="21"/>
      <c r="B16" s="22"/>
      <c r="D16" s="21"/>
      <c r="E16" s="23"/>
      <c r="G16" s="21"/>
      <c r="H16" s="23"/>
      <c r="J16" s="21"/>
      <c r="K16" s="23"/>
    </row>
    <row r="17" spans="1:11" x14ac:dyDescent="0.2">
      <c r="A17" s="24" t="s">
        <v>41</v>
      </c>
    </row>
    <row r="18" spans="1:11" x14ac:dyDescent="0.2">
      <c r="A18" s="86" t="s">
        <v>9</v>
      </c>
      <c r="B18" s="86"/>
      <c r="D18" s="86" t="s">
        <v>34</v>
      </c>
      <c r="E18" s="86"/>
      <c r="G18" s="86" t="s">
        <v>35</v>
      </c>
      <c r="H18" s="86"/>
      <c r="J18" s="86" t="s">
        <v>36</v>
      </c>
      <c r="K18" s="86"/>
    </row>
    <row r="19" spans="1:11" x14ac:dyDescent="0.2">
      <c r="A19" s="10" t="s">
        <v>31</v>
      </c>
      <c r="B19" s="11">
        <f>MIN(L3:L7)</f>
        <v>13.309336217385429</v>
      </c>
      <c r="D19" s="10" t="s">
        <v>31</v>
      </c>
      <c r="E19" s="12">
        <f>B19*$J$9</f>
        <v>23817.709318485875</v>
      </c>
      <c r="G19" s="10" t="s">
        <v>31</v>
      </c>
      <c r="H19" s="12">
        <f>E19+$G$9-$F$9</f>
        <v>19356.983318485873</v>
      </c>
      <c r="J19" s="10" t="s">
        <v>31</v>
      </c>
      <c r="K19" s="12">
        <f>H19/$D$9</f>
        <v>87.788763094337156</v>
      </c>
    </row>
    <row r="20" spans="1:11" x14ac:dyDescent="0.2">
      <c r="A20" s="10" t="s">
        <v>32</v>
      </c>
      <c r="B20" s="11">
        <f>AVERAGE(L3:L7)</f>
        <v>20.710090939277471</v>
      </c>
      <c r="D20" s="10" t="s">
        <v>32</v>
      </c>
      <c r="E20" s="12">
        <f t="shared" ref="E20:E21" si="8">B20*$J$9</f>
        <v>37061.722530293053</v>
      </c>
      <c r="G20" s="10" t="s">
        <v>32</v>
      </c>
      <c r="H20" s="12">
        <f t="shared" ref="H20:H21" si="9">E20+$G$9-$F$9</f>
        <v>32600.99653029305</v>
      </c>
      <c r="J20" s="10" t="s">
        <v>32</v>
      </c>
      <c r="K20" s="12">
        <f t="shared" ref="K20:K21" si="10">H20/$D$9</f>
        <v>147.85367709151251</v>
      </c>
    </row>
    <row r="21" spans="1:11" x14ac:dyDescent="0.2">
      <c r="A21" s="10" t="s">
        <v>33</v>
      </c>
      <c r="B21" s="11">
        <f>MAX(L3:L7)</f>
        <v>27.733488039124811</v>
      </c>
      <c r="D21" s="10" t="s">
        <v>33</v>
      </c>
      <c r="E21" s="12">
        <f t="shared" si="8"/>
        <v>49630.435786927759</v>
      </c>
      <c r="G21" s="10" t="s">
        <v>33</v>
      </c>
      <c r="H21" s="12">
        <f t="shared" si="9"/>
        <v>45169.709786927757</v>
      </c>
      <c r="J21" s="10" t="s">
        <v>33</v>
      </c>
      <c r="K21" s="12">
        <f t="shared" si="10"/>
        <v>204.85593681003087</v>
      </c>
    </row>
    <row r="24" spans="1:11" x14ac:dyDescent="0.2">
      <c r="A24" s="90" t="s">
        <v>37</v>
      </c>
      <c r="B24" s="88">
        <f>DCF_baseline!G4</f>
        <v>42033.738779999992</v>
      </c>
    </row>
    <row r="25" spans="1:11" x14ac:dyDescent="0.2">
      <c r="A25" s="90"/>
      <c r="B25" s="89"/>
    </row>
    <row r="27" spans="1:11" x14ac:dyDescent="0.2">
      <c r="A27" s="20" t="s">
        <v>39</v>
      </c>
      <c r="B27" s="13" t="s">
        <v>42</v>
      </c>
    </row>
    <row r="28" spans="1:11" x14ac:dyDescent="0.2">
      <c r="A28" s="86" t="s">
        <v>30</v>
      </c>
      <c r="B28" s="86"/>
      <c r="D28" s="86" t="s">
        <v>34</v>
      </c>
      <c r="E28" s="86"/>
      <c r="G28" s="86" t="s">
        <v>35</v>
      </c>
      <c r="H28" s="86"/>
      <c r="J28" s="86" t="s">
        <v>36</v>
      </c>
      <c r="K28" s="86"/>
    </row>
    <row r="29" spans="1:11" x14ac:dyDescent="0.2">
      <c r="A29" s="10" t="s">
        <v>31</v>
      </c>
      <c r="B29" s="11">
        <f>MIN(K3:K7)</f>
        <v>1.0613835298176391</v>
      </c>
      <c r="D29" s="10" t="s">
        <v>31</v>
      </c>
      <c r="E29" s="12">
        <f>B29*$B$24</f>
        <v>44613.918037748976</v>
      </c>
      <c r="G29" s="10" t="s">
        <v>31</v>
      </c>
      <c r="H29" s="12">
        <f>E29-$F$9+$G$9</f>
        <v>40153.192037748973</v>
      </c>
      <c r="J29" s="10" t="s">
        <v>31</v>
      </c>
      <c r="K29" s="12">
        <f>H29/$D$9</f>
        <v>182.10477352207067</v>
      </c>
    </row>
    <row r="30" spans="1:11" x14ac:dyDescent="0.2">
      <c r="A30" s="10" t="s">
        <v>32</v>
      </c>
      <c r="B30" s="11">
        <f>AVERAGE(K3:K7)</f>
        <v>1.9362377367392489</v>
      </c>
      <c r="D30" s="10" t="s">
        <v>32</v>
      </c>
      <c r="E30" s="12">
        <f t="shared" ref="E30:E31" si="11">B30*$B$24</f>
        <v>81387.311242075986</v>
      </c>
      <c r="G30" s="10" t="s">
        <v>32</v>
      </c>
      <c r="H30" s="12">
        <f t="shared" ref="H30:H31" si="12">E30-$F$9+$G$9</f>
        <v>76926.585242075991</v>
      </c>
      <c r="J30" s="10" t="s">
        <v>32</v>
      </c>
      <c r="K30" s="12">
        <f t="shared" ref="K30:K31" si="13">H30/$D$9</f>
        <v>348.88131359929247</v>
      </c>
    </row>
    <row r="31" spans="1:11" x14ac:dyDescent="0.2">
      <c r="A31" s="10" t="s">
        <v>33</v>
      </c>
      <c r="B31" s="11">
        <f>MAX(K3:K7)</f>
        <v>3.015638885133336</v>
      </c>
      <c r="D31" s="10" t="s">
        <v>33</v>
      </c>
      <c r="E31" s="12">
        <f t="shared" si="11"/>
        <v>126758.57715250505</v>
      </c>
      <c r="G31" s="10" t="s">
        <v>33</v>
      </c>
      <c r="H31" s="12">
        <f t="shared" si="12"/>
        <v>122297.85115250506</v>
      </c>
      <c r="J31" s="10" t="s">
        <v>33</v>
      </c>
      <c r="K31" s="12">
        <f t="shared" si="13"/>
        <v>554.6513578652806</v>
      </c>
    </row>
    <row r="33" spans="1:11" x14ac:dyDescent="0.2">
      <c r="A33" s="24" t="s">
        <v>41</v>
      </c>
    </row>
    <row r="34" spans="1:11" x14ac:dyDescent="0.2">
      <c r="A34" s="86" t="s">
        <v>9</v>
      </c>
      <c r="B34" s="86"/>
      <c r="D34" s="86" t="s">
        <v>34</v>
      </c>
      <c r="E34" s="86"/>
      <c r="G34" s="86" t="s">
        <v>35</v>
      </c>
      <c r="H34" s="86"/>
      <c r="J34" s="86" t="s">
        <v>36</v>
      </c>
      <c r="K34" s="86"/>
    </row>
    <row r="35" spans="1:11" x14ac:dyDescent="0.2">
      <c r="A35" s="10" t="s">
        <v>31</v>
      </c>
      <c r="B35" s="11">
        <f>MIN(L3:L7)</f>
        <v>13.309336217385429</v>
      </c>
      <c r="D35" s="10" t="s">
        <v>31</v>
      </c>
      <c r="E35" s="12">
        <f>B35*$J$9</f>
        <v>23817.709318485875</v>
      </c>
      <c r="G35" s="10" t="s">
        <v>31</v>
      </c>
      <c r="H35" s="12">
        <f>E35+$G$9-$F$9</f>
        <v>19356.983318485873</v>
      </c>
      <c r="J35" s="10" t="s">
        <v>31</v>
      </c>
      <c r="K35" s="12">
        <f>H35/$D$9</f>
        <v>87.788763094337156</v>
      </c>
    </row>
    <row r="36" spans="1:11" x14ac:dyDescent="0.2">
      <c r="A36" s="10" t="s">
        <v>32</v>
      </c>
      <c r="B36" s="11">
        <f>AVERAGE(L3:L7)</f>
        <v>20.710090939277471</v>
      </c>
      <c r="D36" s="10" t="s">
        <v>32</v>
      </c>
      <c r="E36" s="12">
        <f t="shared" ref="E36:E37" si="14">B36*$J$9</f>
        <v>37061.722530293053</v>
      </c>
      <c r="G36" s="10" t="s">
        <v>32</v>
      </c>
      <c r="H36" s="12">
        <f t="shared" ref="H36:H37" si="15">E36+$G$9-$F$9</f>
        <v>32600.99653029305</v>
      </c>
      <c r="J36" s="10" t="s">
        <v>32</v>
      </c>
      <c r="K36" s="12">
        <f t="shared" ref="K36:K37" si="16">H36/$D$9</f>
        <v>147.85367709151251</v>
      </c>
    </row>
    <row r="37" spans="1:11" x14ac:dyDescent="0.2">
      <c r="A37" s="10" t="s">
        <v>33</v>
      </c>
      <c r="B37" s="11">
        <f>MAX(L3:L7)</f>
        <v>27.733488039124811</v>
      </c>
      <c r="D37" s="10" t="s">
        <v>33</v>
      </c>
      <c r="E37" s="12">
        <f t="shared" si="14"/>
        <v>49630.435786927759</v>
      </c>
      <c r="G37" s="10" t="s">
        <v>33</v>
      </c>
      <c r="H37" s="12">
        <f t="shared" si="15"/>
        <v>45169.709786927757</v>
      </c>
      <c r="J37" s="10" t="s">
        <v>33</v>
      </c>
      <c r="K37" s="12">
        <f t="shared" si="16"/>
        <v>204.85593681003087</v>
      </c>
    </row>
  </sheetData>
  <mergeCells count="21">
    <mergeCell ref="A34:B34"/>
    <mergeCell ref="D34:E34"/>
    <mergeCell ref="G34:H34"/>
    <mergeCell ref="J34:K34"/>
    <mergeCell ref="E1:H1"/>
    <mergeCell ref="I1:J1"/>
    <mergeCell ref="A18:B18"/>
    <mergeCell ref="D18:E18"/>
    <mergeCell ref="G18:H18"/>
    <mergeCell ref="J18:K18"/>
    <mergeCell ref="B24:B25"/>
    <mergeCell ref="A24:A25"/>
    <mergeCell ref="A28:B28"/>
    <mergeCell ref="D28:E28"/>
    <mergeCell ref="G28:H28"/>
    <mergeCell ref="J28:K28"/>
    <mergeCell ref="Q2:S2"/>
    <mergeCell ref="A12:B12"/>
    <mergeCell ref="D12:E12"/>
    <mergeCell ref="G12:H12"/>
    <mergeCell ref="J12:K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93EE-779E-F141-B785-88378DE3F3CA}">
  <dimension ref="B1:P13"/>
  <sheetViews>
    <sheetView topLeftCell="B1" zoomScale="90" workbookViewId="0">
      <selection activeCell="F30" sqref="F30"/>
    </sheetView>
  </sheetViews>
  <sheetFormatPr baseColWidth="10" defaultRowHeight="16" x14ac:dyDescent="0.2"/>
  <cols>
    <col min="2" max="2" width="24" bestFit="1" customWidth="1"/>
    <col min="3" max="3" width="25.33203125" bestFit="1" customWidth="1"/>
    <col min="4" max="4" width="15.5" bestFit="1" customWidth="1"/>
    <col min="5" max="5" width="14.6640625" style="29" bestFit="1" customWidth="1"/>
    <col min="6" max="6" width="22.6640625" bestFit="1" customWidth="1"/>
    <col min="7" max="7" width="17.33203125" bestFit="1" customWidth="1"/>
    <col min="10" max="10" width="11.5" bestFit="1" customWidth="1"/>
    <col min="11" max="11" width="11.6640625" bestFit="1" customWidth="1"/>
    <col min="13" max="13" width="11.83203125" bestFit="1" customWidth="1"/>
    <col min="14" max="14" width="9.83203125" bestFit="1" customWidth="1"/>
  </cols>
  <sheetData>
    <row r="1" spans="2:16" x14ac:dyDescent="0.2">
      <c r="B1" s="91" t="s">
        <v>52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2:16" x14ac:dyDescent="0.2">
      <c r="B2" s="25" t="s">
        <v>43</v>
      </c>
      <c r="C2" s="25" t="s">
        <v>44</v>
      </c>
      <c r="D2" s="25" t="s">
        <v>45</v>
      </c>
      <c r="E2" s="27" t="s">
        <v>46</v>
      </c>
      <c r="F2" s="25" t="s">
        <v>61</v>
      </c>
      <c r="G2" s="25" t="s">
        <v>62</v>
      </c>
      <c r="H2" s="25" t="s">
        <v>48</v>
      </c>
      <c r="I2" s="25" t="s">
        <v>47</v>
      </c>
      <c r="J2" s="25" t="s">
        <v>49</v>
      </c>
      <c r="K2" s="25" t="s">
        <v>6</v>
      </c>
      <c r="L2" s="25" t="s">
        <v>7</v>
      </c>
      <c r="M2" s="25" t="s">
        <v>50</v>
      </c>
      <c r="N2" s="25" t="s">
        <v>51</v>
      </c>
    </row>
    <row r="3" spans="2:16" x14ac:dyDescent="0.2">
      <c r="B3" s="3" t="s">
        <v>54</v>
      </c>
      <c r="C3" s="3" t="s">
        <v>53</v>
      </c>
      <c r="D3" s="30">
        <v>44276</v>
      </c>
      <c r="E3" s="31">
        <v>22</v>
      </c>
      <c r="F3" s="32">
        <v>146.803</v>
      </c>
      <c r="G3" s="15">
        <f>F3*E3</f>
        <v>3229.6660000000002</v>
      </c>
      <c r="H3" s="13">
        <f>16.7+2480.953</f>
        <v>2497.6529999999998</v>
      </c>
      <c r="I3" s="13">
        <v>1194.3889999999999</v>
      </c>
      <c r="J3" s="7">
        <f>G3+H3-I3</f>
        <v>4532.9299999999994</v>
      </c>
      <c r="K3" s="3">
        <v>5271.1120000000001</v>
      </c>
      <c r="L3" s="3">
        <v>533.54</v>
      </c>
      <c r="M3" s="7">
        <f>J3/K3</f>
        <v>0.85995706408818473</v>
      </c>
      <c r="N3" s="7">
        <f>J3/L3</f>
        <v>8.4959515687671026</v>
      </c>
      <c r="O3" t="s">
        <v>63</v>
      </c>
    </row>
    <row r="4" spans="2:16" x14ac:dyDescent="0.2">
      <c r="B4" s="3" t="s">
        <v>55</v>
      </c>
      <c r="C4" s="3" t="s">
        <v>56</v>
      </c>
      <c r="D4" s="26">
        <v>43794</v>
      </c>
      <c r="E4" s="28">
        <v>135</v>
      </c>
      <c r="F4" s="3">
        <v>123.5</v>
      </c>
      <c r="G4" s="6">
        <f>F4*E4</f>
        <v>16672.5</v>
      </c>
      <c r="H4" s="3">
        <v>884.1</v>
      </c>
      <c r="I4" s="3">
        <v>874.7</v>
      </c>
      <c r="J4" s="6">
        <f>G4+H4-I4</f>
        <v>16681.899999999998</v>
      </c>
      <c r="K4" s="3">
        <f>4424+2310.8-3066.1</f>
        <v>3668.7000000000003</v>
      </c>
      <c r="L4" s="3">
        <f>732.6+119.2-463.6</f>
        <v>388.20000000000005</v>
      </c>
      <c r="M4" s="4">
        <f>J4/K4</f>
        <v>4.547087524191129</v>
      </c>
      <c r="N4" s="4">
        <f>J4/L4</f>
        <v>42.972436888201948</v>
      </c>
    </row>
    <row r="5" spans="2:16" x14ac:dyDescent="0.2">
      <c r="B5" s="3" t="s">
        <v>57</v>
      </c>
      <c r="C5" s="3" t="s">
        <v>58</v>
      </c>
      <c r="D5" s="26">
        <v>42914</v>
      </c>
      <c r="E5" s="33">
        <v>10.25</v>
      </c>
      <c r="F5" s="3">
        <v>652.52</v>
      </c>
      <c r="G5" s="6">
        <f>F5*E5</f>
        <v>6688.33</v>
      </c>
      <c r="H5" s="8">
        <v>529</v>
      </c>
      <c r="I5" s="3">
        <v>1137</v>
      </c>
      <c r="J5" s="7">
        <f>G5+H5-I5</f>
        <v>6080.33</v>
      </c>
      <c r="K5" s="34">
        <v>18247</v>
      </c>
      <c r="L5" s="3">
        <v>888</v>
      </c>
      <c r="M5" s="4">
        <f>J5/K5</f>
        <v>0.33322354359620759</v>
      </c>
      <c r="N5" s="7">
        <f>J5/L5</f>
        <v>6.8472184684684683</v>
      </c>
      <c r="O5" t="s">
        <v>63</v>
      </c>
    </row>
    <row r="6" spans="2:16" x14ac:dyDescent="0.2">
      <c r="B6" s="3" t="s">
        <v>59</v>
      </c>
      <c r="C6" s="3" t="s">
        <v>60</v>
      </c>
      <c r="D6" s="26">
        <v>42074</v>
      </c>
      <c r="E6" s="28">
        <v>83</v>
      </c>
      <c r="F6" s="3">
        <v>109.611</v>
      </c>
      <c r="G6" s="6">
        <f>F6*E6</f>
        <v>9097.7129999999997</v>
      </c>
      <c r="H6" s="3">
        <v>0</v>
      </c>
      <c r="I6" s="3">
        <v>285.62200000000001</v>
      </c>
      <c r="J6" s="7">
        <f>G6+H6-I6</f>
        <v>8812.0910000000003</v>
      </c>
      <c r="K6" s="3">
        <v>6916.6270000000004</v>
      </c>
      <c r="L6" s="3">
        <v>693.31799999999998</v>
      </c>
      <c r="M6" s="7">
        <f>J6/K6</f>
        <v>1.2740445595808476</v>
      </c>
      <c r="N6" s="7">
        <f>J6/L6</f>
        <v>12.710027721766924</v>
      </c>
      <c r="O6" t="s">
        <v>64</v>
      </c>
    </row>
    <row r="7" spans="2:16" x14ac:dyDescent="0.2">
      <c r="D7" s="38"/>
      <c r="E7" s="39" t="s">
        <v>111</v>
      </c>
      <c r="G7" s="40"/>
      <c r="J7" s="41"/>
      <c r="M7" s="41"/>
      <c r="N7" s="41"/>
    </row>
    <row r="8" spans="2:16" x14ac:dyDescent="0.2">
      <c r="B8" s="92" t="s">
        <v>15</v>
      </c>
      <c r="C8" s="92"/>
      <c r="D8" s="92"/>
      <c r="E8" s="15">
        <v>103.71</v>
      </c>
      <c r="F8" s="15">
        <v>220.495</v>
      </c>
      <c r="G8" s="15">
        <f>E8*F8</f>
        <v>22867.53645</v>
      </c>
      <c r="H8" s="15">
        <f>19.326+5726</f>
        <v>5745.326</v>
      </c>
      <c r="I8" s="15">
        <v>1284.5999999999999</v>
      </c>
      <c r="J8" s="15">
        <f>G8+H8-I8</f>
        <v>27328.262450000002</v>
      </c>
      <c r="K8" s="15">
        <f>40612.308+21163.716-20124.382</f>
        <v>41651.641999999993</v>
      </c>
      <c r="L8" s="14">
        <f>1714.074+1171.541-1096.066</f>
        <v>1789.5489999999998</v>
      </c>
      <c r="M8" s="17">
        <f>J8/K8</f>
        <v>0.65611488857990297</v>
      </c>
      <c r="N8" s="18">
        <f>J8/L8</f>
        <v>15.27103334415543</v>
      </c>
      <c r="O8" s="13"/>
      <c r="P8" s="37"/>
    </row>
    <row r="10" spans="2:16" x14ac:dyDescent="0.2">
      <c r="B10" s="35" t="s">
        <v>65</v>
      </c>
      <c r="C10" s="35" t="s">
        <v>66</v>
      </c>
      <c r="D10" s="35" t="s">
        <v>67</v>
      </c>
      <c r="E10" s="36" t="s">
        <v>34</v>
      </c>
      <c r="F10" s="35" t="s">
        <v>35</v>
      </c>
      <c r="G10" s="35" t="s">
        <v>36</v>
      </c>
    </row>
    <row r="11" spans="2:16" x14ac:dyDescent="0.2">
      <c r="B11" s="3" t="s">
        <v>31</v>
      </c>
      <c r="C11" s="7">
        <f>MIN(M3:M6)</f>
        <v>0.33322354359620759</v>
      </c>
      <c r="D11" s="7">
        <f>MIN(N3:N6)</f>
        <v>6.8472184684684683</v>
      </c>
      <c r="E11" s="6">
        <f>C11*$K$8</f>
        <v>13879.307743840629</v>
      </c>
      <c r="F11" s="7">
        <f>E11+$I$8-$H$8</f>
        <v>9418.5817438406302</v>
      </c>
      <c r="G11" s="4">
        <f>F11/$F$8</f>
        <v>42.715625042928998</v>
      </c>
    </row>
    <row r="12" spans="2:16" x14ac:dyDescent="0.2">
      <c r="B12" s="3" t="s">
        <v>68</v>
      </c>
      <c r="C12" s="7">
        <f>AVERAGE(M3:M6)</f>
        <v>1.7535781728640922</v>
      </c>
      <c r="D12" s="7">
        <f>AVERAGE(N3:N6)</f>
        <v>17.75640866180111</v>
      </c>
      <c r="E12" s="6">
        <f t="shared" ref="E12:E13" si="0">C12*$K$8</f>
        <v>73039.410275149276</v>
      </c>
      <c r="F12" s="7">
        <f t="shared" ref="F12:F13" si="1">E12+$I$8-$H$8</f>
        <v>68578.68427514928</v>
      </c>
      <c r="G12" s="4">
        <f t="shared" ref="G12:G13" si="2">F12/$F$8</f>
        <v>311.0214937987223</v>
      </c>
    </row>
    <row r="13" spans="2:16" x14ac:dyDescent="0.2">
      <c r="B13" s="3" t="s">
        <v>33</v>
      </c>
      <c r="C13" s="7">
        <f>MAX(M3:M6)</f>
        <v>4.547087524191129</v>
      </c>
      <c r="D13" s="7">
        <f>MAX(N3:N6)</f>
        <v>42.972436888201948</v>
      </c>
      <c r="E13" s="6">
        <f t="shared" si="0"/>
        <v>189393.6617002752</v>
      </c>
      <c r="F13" s="7">
        <f t="shared" si="1"/>
        <v>184932.93570027521</v>
      </c>
      <c r="G13" s="4">
        <f t="shared" si="2"/>
        <v>838.71713961892647</v>
      </c>
    </row>
  </sheetData>
  <mergeCells count="2">
    <mergeCell ref="B1:N1"/>
    <mergeCell ref="B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E5B5-24D2-C345-B4FB-9ED413A764A9}">
  <dimension ref="A2:R40"/>
  <sheetViews>
    <sheetView zoomScale="69" workbookViewId="0">
      <selection activeCell="L50" sqref="L50"/>
    </sheetView>
  </sheetViews>
  <sheetFormatPr baseColWidth="10" defaultRowHeight="16" x14ac:dyDescent="0.2"/>
  <cols>
    <col min="1" max="1" width="26.6640625" style="2" bestFit="1" customWidth="1"/>
    <col min="2" max="3" width="11.33203125" bestFit="1" customWidth="1"/>
    <col min="4" max="4" width="14.1640625" bestFit="1" customWidth="1"/>
    <col min="5" max="5" width="12.1640625" bestFit="1" customWidth="1"/>
    <col min="6" max="7" width="11.33203125" bestFit="1" customWidth="1"/>
    <col min="8" max="8" width="11.5" bestFit="1" customWidth="1"/>
    <col min="9" max="11" width="11.33203125" bestFit="1" customWidth="1"/>
    <col min="12" max="12" width="12.1640625" bestFit="1" customWidth="1"/>
  </cols>
  <sheetData>
    <row r="2" spans="1:12" x14ac:dyDescent="0.2">
      <c r="A2" s="48"/>
      <c r="B2" s="45"/>
      <c r="C2" s="45"/>
      <c r="D2" s="45"/>
      <c r="E2" s="45"/>
      <c r="F2" s="45"/>
      <c r="G2" s="100" t="s">
        <v>82</v>
      </c>
      <c r="H2" s="100"/>
      <c r="I2" s="100"/>
      <c r="J2" s="100"/>
      <c r="K2" s="100"/>
    </row>
    <row r="3" spans="1:12" x14ac:dyDescent="0.2">
      <c r="A3" s="49"/>
      <c r="B3" s="46">
        <v>2021</v>
      </c>
      <c r="C3" s="46">
        <v>2022</v>
      </c>
      <c r="D3" s="46">
        <v>2023</v>
      </c>
      <c r="E3" s="46">
        <v>2024</v>
      </c>
      <c r="F3" s="46">
        <v>2025</v>
      </c>
      <c r="G3" s="57">
        <v>2026</v>
      </c>
      <c r="H3" s="57">
        <v>2027</v>
      </c>
      <c r="I3" s="57">
        <v>2028</v>
      </c>
      <c r="J3" s="57">
        <v>2029</v>
      </c>
      <c r="K3" s="57">
        <v>2030</v>
      </c>
      <c r="L3" s="58" t="s">
        <v>83</v>
      </c>
    </row>
    <row r="4" spans="1:12" x14ac:dyDescent="0.2">
      <c r="A4" s="50" t="s">
        <v>69</v>
      </c>
      <c r="B4" s="15">
        <v>33746.839</v>
      </c>
      <c r="C4" s="15">
        <v>34220.449000000001</v>
      </c>
      <c r="D4" s="15">
        <v>37844.862999999998</v>
      </c>
      <c r="E4" s="15">
        <v>38691.608999999997</v>
      </c>
      <c r="F4" s="15">
        <v>40612.307999999997</v>
      </c>
      <c r="G4" s="18">
        <f>(1+G5)*F4</f>
        <v>42033.738779999992</v>
      </c>
      <c r="H4" s="18">
        <f>(1+H5)*G4</f>
        <v>43462.885898519991</v>
      </c>
      <c r="I4" s="18">
        <f>(1+I5)*H4</f>
        <v>44853.69824727263</v>
      </c>
      <c r="J4" s="18">
        <f t="shared" ref="J4" si="0">(1+J5)*I4</f>
        <v>46199.30919469081</v>
      </c>
      <c r="K4" s="18">
        <f>(1+K5)*J4</f>
        <v>47492.889852142151</v>
      </c>
    </row>
    <row r="5" spans="1:12" x14ac:dyDescent="0.2">
      <c r="A5" s="50" t="s">
        <v>70</v>
      </c>
      <c r="B5" s="47"/>
      <c r="C5" s="47">
        <f>(C4-B4)/B4</f>
        <v>1.4034203321976337E-2</v>
      </c>
      <c r="D5" s="47">
        <f>(D4-C4)/C4</f>
        <v>0.1059136892096301</v>
      </c>
      <c r="E5" s="47">
        <f>(E4-D4)/D4</f>
        <v>2.2374133049444498E-2</v>
      </c>
      <c r="F5" s="47">
        <f>(F4-E4)/E4</f>
        <v>4.9641228412082856E-2</v>
      </c>
      <c r="G5" s="54">
        <v>3.5000000000000003E-2</v>
      </c>
      <c r="H5" s="54">
        <v>3.4000000000000002E-2</v>
      </c>
      <c r="I5" s="54">
        <v>3.2000000000000001E-2</v>
      </c>
      <c r="J5" s="55">
        <v>0.03</v>
      </c>
      <c r="K5" s="54">
        <v>2.8000000000000001E-2</v>
      </c>
      <c r="L5" s="53">
        <v>2.5000000000000001E-2</v>
      </c>
    </row>
    <row r="6" spans="1:12" x14ac:dyDescent="0.2">
      <c r="A6" s="94"/>
      <c r="B6" s="95"/>
      <c r="C6" s="95"/>
      <c r="D6" s="95"/>
      <c r="E6" s="95"/>
      <c r="F6" s="95"/>
      <c r="G6" s="95"/>
      <c r="H6" s="95"/>
      <c r="I6" s="95"/>
      <c r="J6" s="95"/>
      <c r="K6" s="96"/>
    </row>
    <row r="7" spans="1:12" x14ac:dyDescent="0.2">
      <c r="A7" s="50" t="s">
        <v>71</v>
      </c>
      <c r="B7" s="18">
        <f t="shared" ref="B7:F7" si="1">B10+B14</f>
        <v>4129.0019999999995</v>
      </c>
      <c r="C7" s="18">
        <f t="shared" si="1"/>
        <v>3861.991</v>
      </c>
      <c r="D7" s="18">
        <f t="shared" si="1"/>
        <v>4053.1790000000001</v>
      </c>
      <c r="E7" s="18">
        <f t="shared" si="1"/>
        <v>3295.0930000000003</v>
      </c>
      <c r="F7" s="18">
        <f t="shared" si="1"/>
        <v>2685.777</v>
      </c>
      <c r="G7" s="18">
        <f>G8*G4</f>
        <v>4149.5994545931562</v>
      </c>
      <c r="H7" s="18">
        <f>H8*H4</f>
        <v>4290.6858360493234</v>
      </c>
      <c r="I7" s="18">
        <f>I8*I4</f>
        <v>4427.9877828029012</v>
      </c>
      <c r="J7" s="18">
        <f>J8*J4</f>
        <v>4560.8274162869884</v>
      </c>
      <c r="K7" s="18">
        <f>K8*K4</f>
        <v>4688.5305839430239</v>
      </c>
    </row>
    <row r="8" spans="1:12" x14ac:dyDescent="0.2">
      <c r="A8" s="50" t="s">
        <v>72</v>
      </c>
      <c r="B8" s="47">
        <f t="shared" ref="B8:F8" si="2">B7/B4</f>
        <v>0.12235225942198615</v>
      </c>
      <c r="C8" s="47">
        <f t="shared" si="2"/>
        <v>0.11285623400207286</v>
      </c>
      <c r="D8" s="47">
        <f t="shared" si="2"/>
        <v>0.10709984602137416</v>
      </c>
      <c r="E8" s="47">
        <f t="shared" si="2"/>
        <v>8.5162987147936922E-2</v>
      </c>
      <c r="F8" s="47">
        <f t="shared" si="2"/>
        <v>6.613209473344879E-2</v>
      </c>
      <c r="G8" s="56">
        <f>AVERAGE(B8:F8)</f>
        <v>9.8720684265363762E-2</v>
      </c>
      <c r="H8" s="56">
        <f>G8</f>
        <v>9.8720684265363762E-2</v>
      </c>
      <c r="I8" s="56">
        <f>H8</f>
        <v>9.8720684265363762E-2</v>
      </c>
      <c r="J8" s="56">
        <f t="shared" ref="J8:K8" si="3">I8</f>
        <v>9.8720684265363762E-2</v>
      </c>
      <c r="K8" s="56">
        <f t="shared" si="3"/>
        <v>9.8720684265363762E-2</v>
      </c>
    </row>
    <row r="9" spans="1:12" x14ac:dyDescent="0.2">
      <c r="A9" s="94"/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2" x14ac:dyDescent="0.2">
      <c r="A10" s="50" t="s">
        <v>7</v>
      </c>
      <c r="B10" s="15">
        <v>3554.7649999999999</v>
      </c>
      <c r="C10" s="15">
        <v>3220.6750000000002</v>
      </c>
      <c r="D10" s="15">
        <v>3328.3020000000001</v>
      </c>
      <c r="E10" s="15">
        <v>2446.3000000000002</v>
      </c>
      <c r="F10" s="15">
        <v>1714.0740000000001</v>
      </c>
      <c r="G10" s="18">
        <f>G11*G4</f>
        <v>3783.0364901999992</v>
      </c>
      <c r="H10" s="18">
        <f t="shared" ref="H10:K10" si="4">H11*H4</f>
        <v>3911.6597308667992</v>
      </c>
      <c r="I10" s="18">
        <f t="shared" si="4"/>
        <v>4036.8328422545364</v>
      </c>
      <c r="J10" s="18">
        <f t="shared" si="4"/>
        <v>4157.9378275221725</v>
      </c>
      <c r="K10" s="18">
        <f t="shared" si="4"/>
        <v>4274.3600866927936</v>
      </c>
    </row>
    <row r="11" spans="1:12" x14ac:dyDescent="0.2">
      <c r="A11" s="50" t="s">
        <v>72</v>
      </c>
      <c r="B11" s="47">
        <f t="shared" ref="B11:F11" si="5">B10/B4</f>
        <v>0.10533623608421518</v>
      </c>
      <c r="C11" s="47">
        <f t="shared" si="5"/>
        <v>9.4115509705907138E-2</v>
      </c>
      <c r="D11" s="47">
        <f t="shared" si="5"/>
        <v>8.794593866015582E-2</v>
      </c>
      <c r="E11" s="47">
        <f t="shared" si="5"/>
        <v>6.3225594986241085E-2</v>
      </c>
      <c r="F11" s="47">
        <f t="shared" si="5"/>
        <v>4.22057766330345E-2</v>
      </c>
      <c r="G11" s="54">
        <v>0.09</v>
      </c>
      <c r="H11" s="54">
        <v>0.09</v>
      </c>
      <c r="I11" s="54">
        <v>0.09</v>
      </c>
      <c r="J11" s="54">
        <v>0.09</v>
      </c>
      <c r="K11" s="54">
        <v>0.09</v>
      </c>
    </row>
    <row r="12" spans="1:12" x14ac:dyDescent="0.2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6"/>
    </row>
    <row r="13" spans="1:12" x14ac:dyDescent="0.2">
      <c r="A13" s="50" t="s">
        <v>73</v>
      </c>
      <c r="B13" s="15">
        <v>25862.624</v>
      </c>
      <c r="C13" s="15">
        <v>26327.370999999999</v>
      </c>
      <c r="D13" s="15">
        <v>29083.366999999998</v>
      </c>
      <c r="E13" s="15">
        <v>30795.591</v>
      </c>
      <c r="F13" s="15">
        <v>31132.733</v>
      </c>
      <c r="G13" s="14"/>
      <c r="H13" s="14"/>
      <c r="I13" s="14"/>
      <c r="J13" s="14"/>
      <c r="K13" s="14"/>
    </row>
    <row r="14" spans="1:12" x14ac:dyDescent="0.2">
      <c r="A14" s="50" t="s">
        <v>74</v>
      </c>
      <c r="B14" s="14">
        <v>574.23699999999997</v>
      </c>
      <c r="C14" s="14">
        <v>641.31600000000003</v>
      </c>
      <c r="D14" s="14">
        <v>724.87699999999995</v>
      </c>
      <c r="E14" s="14">
        <v>848.79300000000001</v>
      </c>
      <c r="F14" s="14">
        <v>971.70299999999997</v>
      </c>
      <c r="G14" s="18">
        <f>G17*G4</f>
        <v>847.18466898883833</v>
      </c>
      <c r="H14" s="18">
        <f t="shared" ref="H14:K14" si="6">H17*H4</f>
        <v>875.98894773445875</v>
      </c>
      <c r="I14" s="18">
        <f t="shared" si="6"/>
        <v>904.02059406196145</v>
      </c>
      <c r="J14" s="18">
        <f t="shared" si="6"/>
        <v>931.14121188382023</v>
      </c>
      <c r="K14" s="18">
        <f t="shared" si="6"/>
        <v>957.2131658165672</v>
      </c>
    </row>
    <row r="15" spans="1:12" x14ac:dyDescent="0.2">
      <c r="A15" s="50" t="s">
        <v>75</v>
      </c>
      <c r="B15" s="14">
        <v>1027.963</v>
      </c>
      <c r="C15" s="14">
        <v>1070.46</v>
      </c>
      <c r="D15" s="14">
        <v>1560.5820000000001</v>
      </c>
      <c r="E15" s="52">
        <v>1700.222</v>
      </c>
      <c r="F15" s="14">
        <v>1309.8879999999999</v>
      </c>
      <c r="G15" s="18">
        <f>G18*G4</f>
        <v>1506.2789879556847</v>
      </c>
      <c r="H15" s="18">
        <f t="shared" ref="H15:K15" si="7">H18*H4</f>
        <v>1557.492473546178</v>
      </c>
      <c r="I15" s="18">
        <f t="shared" si="7"/>
        <v>1607.3322326996556</v>
      </c>
      <c r="J15" s="18">
        <f t="shared" si="7"/>
        <v>1655.5521996806453</v>
      </c>
      <c r="K15" s="18">
        <f t="shared" si="7"/>
        <v>1701.9076612717033</v>
      </c>
    </row>
    <row r="16" spans="1:12" x14ac:dyDescent="0.2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6"/>
    </row>
    <row r="17" spans="1:18" x14ac:dyDescent="0.2">
      <c r="A17" s="51" t="s">
        <v>76</v>
      </c>
      <c r="B17" s="47">
        <f>B14/B4</f>
        <v>1.7016023337770983E-2</v>
      </c>
      <c r="C17" s="47">
        <f t="shared" ref="C17:F17" si="8">C14/C4</f>
        <v>1.8740724296165724E-2</v>
      </c>
      <c r="D17" s="47">
        <f t="shared" si="8"/>
        <v>1.9153907361218352E-2</v>
      </c>
      <c r="E17" s="47">
        <f t="shared" si="8"/>
        <v>2.1937392161695837E-2</v>
      </c>
      <c r="F17" s="47">
        <f t="shared" si="8"/>
        <v>2.392631810041429E-2</v>
      </c>
      <c r="G17" s="56">
        <f>AVERAGE(B17:F17)</f>
        <v>2.0154873051453037E-2</v>
      </c>
      <c r="H17" s="56">
        <f t="shared" ref="H17:K18" si="9">G17</f>
        <v>2.0154873051453037E-2</v>
      </c>
      <c r="I17" s="56">
        <f t="shared" si="9"/>
        <v>2.0154873051453037E-2</v>
      </c>
      <c r="J17" s="56">
        <f t="shared" si="9"/>
        <v>2.0154873051453037E-2</v>
      </c>
      <c r="K17" s="56">
        <f t="shared" si="9"/>
        <v>2.0154873051453037E-2</v>
      </c>
    </row>
    <row r="18" spans="1:18" x14ac:dyDescent="0.2">
      <c r="A18" s="51" t="s">
        <v>77</v>
      </c>
      <c r="B18" s="47">
        <f t="shared" ref="B18:F18" si="10">B15/B4</f>
        <v>3.0461015919150233E-2</v>
      </c>
      <c r="C18" s="47">
        <f t="shared" si="10"/>
        <v>3.1281296163004756E-2</v>
      </c>
      <c r="D18" s="47">
        <f t="shared" si="10"/>
        <v>4.1236296720112323E-2</v>
      </c>
      <c r="E18" s="47">
        <f t="shared" si="10"/>
        <v>4.3942912790212472E-2</v>
      </c>
      <c r="F18" s="47">
        <f t="shared" si="10"/>
        <v>3.2253473503648204E-2</v>
      </c>
      <c r="G18" s="56">
        <f>AVERAGE(B18:F18)</f>
        <v>3.58349990192256E-2</v>
      </c>
      <c r="H18" s="56">
        <f t="shared" si="9"/>
        <v>3.58349990192256E-2</v>
      </c>
      <c r="I18" s="56">
        <f t="shared" si="9"/>
        <v>3.58349990192256E-2</v>
      </c>
      <c r="J18" s="56">
        <f t="shared" si="9"/>
        <v>3.58349990192256E-2</v>
      </c>
      <c r="K18" s="56">
        <f t="shared" si="9"/>
        <v>3.58349990192256E-2</v>
      </c>
    </row>
    <row r="19" spans="1:18" x14ac:dyDescent="0.2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6"/>
    </row>
    <row r="20" spans="1:18" x14ac:dyDescent="0.2">
      <c r="A20" s="51" t="s">
        <v>78</v>
      </c>
      <c r="B20" s="14">
        <f>(6914.219-1376.577)-5710.783</f>
        <v>-173.14100000000053</v>
      </c>
      <c r="C20" s="14">
        <f>(6303.843)-5979.357</f>
        <v>324.48599999999988</v>
      </c>
      <c r="D20" s="14">
        <f>(7581.009-381.576)-(5887.768-1288.939)</f>
        <v>2600.6040000000003</v>
      </c>
      <c r="E20" s="14">
        <f>(8010.724-537.283)-(6725.701-768.645)</f>
        <v>1516.3849999999993</v>
      </c>
      <c r="F20" s="14">
        <f>(8163.925-932.576)-(6868.702-519.463)</f>
        <v>882.10999999999967</v>
      </c>
      <c r="G20" s="18">
        <f>G21*G4</f>
        <v>840.67477559999986</v>
      </c>
      <c r="H20" s="18">
        <f t="shared" ref="H20:K20" si="11">H21*H4</f>
        <v>869.25771797039988</v>
      </c>
      <c r="I20" s="18">
        <f t="shared" si="11"/>
        <v>897.07396494545264</v>
      </c>
      <c r="J20" s="18">
        <f t="shared" si="11"/>
        <v>923.98618389381625</v>
      </c>
      <c r="K20" s="18">
        <f t="shared" si="11"/>
        <v>949.857797042843</v>
      </c>
    </row>
    <row r="21" spans="1:18" x14ac:dyDescent="0.2">
      <c r="A21" s="51" t="s">
        <v>79</v>
      </c>
      <c r="B21" s="47">
        <f>B20/B4</f>
        <v>-5.1305842304223076E-3</v>
      </c>
      <c r="C21" s="47">
        <f t="shared" ref="C21:F21" si="12">C20/C4</f>
        <v>9.482225087110923E-3</v>
      </c>
      <c r="D21" s="47">
        <f t="shared" si="12"/>
        <v>6.8717490138621995E-2</v>
      </c>
      <c r="E21" s="47">
        <f t="shared" si="12"/>
        <v>3.9191572518992412E-2</v>
      </c>
      <c r="F21" s="47">
        <f t="shared" si="12"/>
        <v>2.172026273414453E-2</v>
      </c>
      <c r="G21" s="56">
        <v>0.02</v>
      </c>
      <c r="H21" s="56">
        <v>0.02</v>
      </c>
      <c r="I21" s="56">
        <v>0.02</v>
      </c>
      <c r="J21" s="56">
        <v>0.02</v>
      </c>
      <c r="K21" s="56">
        <v>0.02</v>
      </c>
    </row>
    <row r="22" spans="1:18" x14ac:dyDescent="0.2">
      <c r="A22" s="51" t="s">
        <v>80</v>
      </c>
      <c r="B22" s="14"/>
      <c r="C22" s="14"/>
      <c r="D22" s="14"/>
      <c r="E22" s="14"/>
      <c r="F22" s="14"/>
      <c r="G22" s="18">
        <f>G20-F20</f>
        <v>-41.435224399999811</v>
      </c>
      <c r="H22" s="18">
        <f t="shared" ref="H22:K22" si="13">H20-G20</f>
        <v>28.582942370400019</v>
      </c>
      <c r="I22" s="18">
        <f t="shared" si="13"/>
        <v>27.816246975052763</v>
      </c>
      <c r="J22" s="18">
        <f t="shared" si="13"/>
        <v>26.912218948363602</v>
      </c>
      <c r="K22" s="18">
        <f t="shared" si="13"/>
        <v>25.871613149026757</v>
      </c>
    </row>
    <row r="23" spans="1:18" x14ac:dyDescent="0.2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6"/>
      <c r="M23" t="s">
        <v>109</v>
      </c>
      <c r="N23" s="69">
        <v>0.22</v>
      </c>
    </row>
    <row r="24" spans="1:18" x14ac:dyDescent="0.2">
      <c r="A24" s="51" t="s">
        <v>81</v>
      </c>
      <c r="B24" s="14"/>
      <c r="C24" s="14"/>
      <c r="D24" s="14"/>
      <c r="E24" s="14"/>
      <c r="F24" s="14"/>
      <c r="G24" s="70">
        <f>G10*(1-N23)+G14-(G15+G21)</f>
        <v>2291.6541433891534</v>
      </c>
      <c r="H24" s="70">
        <f t="shared" ref="H24:K24" si="14">H10*(1-O23)+H14-(H15+H21)</f>
        <v>3230.1362050550806</v>
      </c>
      <c r="I24" s="70">
        <f t="shared" si="14"/>
        <v>3333.5012036168428</v>
      </c>
      <c r="J24" s="70">
        <f t="shared" si="14"/>
        <v>3433.5068397253481</v>
      </c>
      <c r="K24" s="70">
        <f t="shared" si="14"/>
        <v>3529.6455912376578</v>
      </c>
      <c r="M24" s="67"/>
      <c r="N24" s="65"/>
      <c r="O24" s="68" t="s">
        <v>108</v>
      </c>
    </row>
    <row r="27" spans="1:18" x14ac:dyDescent="0.2">
      <c r="A27" s="97" t="s">
        <v>84</v>
      </c>
      <c r="B27" s="98"/>
      <c r="D27" s="99" t="s">
        <v>94</v>
      </c>
      <c r="E27" s="99"/>
      <c r="G27" s="62" t="s">
        <v>47</v>
      </c>
      <c r="H27" s="63">
        <f>Comparables!G9</f>
        <v>1284.5999999999999</v>
      </c>
    </row>
    <row r="28" spans="1:18" x14ac:dyDescent="0.2">
      <c r="A28" s="43" t="s">
        <v>85</v>
      </c>
      <c r="B28" s="59">
        <f>B34/B36</f>
        <v>0.21433665771554727</v>
      </c>
      <c r="D28" s="62" t="s">
        <v>95</v>
      </c>
      <c r="E28" s="60"/>
      <c r="G28" s="62" t="s">
        <v>48</v>
      </c>
      <c r="H28" s="63">
        <f>B34</f>
        <v>6238.4879999999994</v>
      </c>
    </row>
    <row r="29" spans="1:18" x14ac:dyDescent="0.2">
      <c r="A29" s="43" t="s">
        <v>86</v>
      </c>
      <c r="B29" s="59">
        <f>B35/B36</f>
        <v>0.78566334228445278</v>
      </c>
      <c r="D29" s="62" t="s">
        <v>96</v>
      </c>
      <c r="E29" s="71">
        <v>4.1399999999999999E-2</v>
      </c>
      <c r="G29" s="62" t="s">
        <v>105</v>
      </c>
      <c r="H29" s="76">
        <f>E40+H27-H28</f>
        <v>18921.333832927099</v>
      </c>
      <c r="L29" s="93" t="s">
        <v>116</v>
      </c>
      <c r="M29" s="93"/>
    </row>
    <row r="30" spans="1:18" x14ac:dyDescent="0.2">
      <c r="A30" s="43" t="s">
        <v>87</v>
      </c>
      <c r="B30" s="42">
        <v>5.01</v>
      </c>
      <c r="D30" s="62" t="s">
        <v>97</v>
      </c>
      <c r="E30" s="63">
        <v>0.31</v>
      </c>
      <c r="G30" s="62" t="s">
        <v>106</v>
      </c>
      <c r="H30" s="63">
        <f>Comparables!D9</f>
        <v>220.495</v>
      </c>
      <c r="L30" s="80">
        <f>H31</f>
        <v>85.812983663698034</v>
      </c>
      <c r="M30" s="81">
        <v>3.5000000000000003E-2</v>
      </c>
      <c r="N30" s="81">
        <v>0.04</v>
      </c>
      <c r="O30" s="81">
        <v>4.4999999999999998E-2</v>
      </c>
      <c r="P30" s="81">
        <v>0.05</v>
      </c>
      <c r="Q30" s="81">
        <v>5.5E-2</v>
      </c>
      <c r="R30" s="81">
        <v>0.06</v>
      </c>
    </row>
    <row r="31" spans="1:18" x14ac:dyDescent="0.2">
      <c r="A31" s="43" t="s">
        <v>88</v>
      </c>
      <c r="B31" s="73">
        <v>5.69</v>
      </c>
      <c r="D31" s="62" t="s">
        <v>98</v>
      </c>
      <c r="E31" s="60">
        <v>0.05</v>
      </c>
      <c r="F31" t="s">
        <v>110</v>
      </c>
      <c r="G31" s="78" t="s">
        <v>107</v>
      </c>
      <c r="H31" s="79">
        <f>H29/H30</f>
        <v>85.812983663698034</v>
      </c>
      <c r="L31" s="81">
        <v>0.05</v>
      </c>
      <c r="M31">
        <f t="dataTable" ref="M31:R37" dt2D="1" dtr="1" r1="E34" r2="E35"/>
        <v>87.396411259254592</v>
      </c>
      <c r="N31">
        <v>87.396411259254592</v>
      </c>
      <c r="O31">
        <v>87.396411259254592</v>
      </c>
      <c r="P31">
        <v>87.396411259254592</v>
      </c>
      <c r="Q31">
        <v>87.396411259254592</v>
      </c>
      <c r="R31">
        <v>87.396411259254592</v>
      </c>
    </row>
    <row r="32" spans="1:18" x14ac:dyDescent="0.2">
      <c r="A32" s="43" t="s">
        <v>89</v>
      </c>
      <c r="B32" s="63">
        <f>B30*(1-0.22)</f>
        <v>3.9077999999999999</v>
      </c>
      <c r="D32" s="64" t="s">
        <v>99</v>
      </c>
      <c r="E32" s="72">
        <f>E29+E30*E31</f>
        <v>5.6899999999999999E-2</v>
      </c>
      <c r="L32" s="81">
        <v>5.5E-2</v>
      </c>
      <c r="M32">
        <v>84.687370234540708</v>
      </c>
      <c r="N32">
        <v>84.687370234540708</v>
      </c>
      <c r="O32">
        <v>84.687370234540708</v>
      </c>
      <c r="P32">
        <v>84.687370234540708</v>
      </c>
      <c r="Q32">
        <v>84.687370234540708</v>
      </c>
      <c r="R32">
        <v>84.687370234540708</v>
      </c>
    </row>
    <row r="33" spans="1:18" x14ac:dyDescent="0.2">
      <c r="A33" s="43"/>
      <c r="B33" s="59"/>
      <c r="D33" s="65"/>
      <c r="E33" s="65"/>
      <c r="L33" s="81">
        <v>0.06</v>
      </c>
      <c r="M33">
        <v>82.076241165619138</v>
      </c>
      <c r="N33">
        <v>82.076241165619138</v>
      </c>
      <c r="O33">
        <v>82.076241165619138</v>
      </c>
      <c r="P33">
        <v>82.076241165619138</v>
      </c>
      <c r="Q33">
        <v>82.076241165619138</v>
      </c>
      <c r="R33">
        <v>82.076241165619138</v>
      </c>
    </row>
    <row r="34" spans="1:18" x14ac:dyDescent="0.2">
      <c r="A34" s="43" t="s">
        <v>90</v>
      </c>
      <c r="B34" s="42">
        <f>519.463+5719.025</f>
        <v>6238.4879999999994</v>
      </c>
      <c r="D34" s="62" t="s">
        <v>100</v>
      </c>
      <c r="E34" s="66">
        <v>0.03</v>
      </c>
      <c r="L34" s="81">
        <v>6.5000000000000002E-2</v>
      </c>
      <c r="M34">
        <v>79.558685891509214</v>
      </c>
      <c r="N34">
        <v>79.558685891509214</v>
      </c>
      <c r="O34">
        <v>79.558685891509214</v>
      </c>
      <c r="P34">
        <v>79.558685891509214</v>
      </c>
      <c r="Q34">
        <v>79.558685891509214</v>
      </c>
      <c r="R34">
        <v>79.558685891509214</v>
      </c>
    </row>
    <row r="35" spans="1:18" x14ac:dyDescent="0.2">
      <c r="A35" s="43" t="s">
        <v>91</v>
      </c>
      <c r="B35" s="61">
        <f>Comparables!E9</f>
        <v>22867.53645</v>
      </c>
      <c r="D35" s="62" t="s">
        <v>93</v>
      </c>
      <c r="E35" s="83">
        <v>5.2900000000000003E-2</v>
      </c>
      <c r="L35" s="81">
        <v>7.0000000000000007E-2</v>
      </c>
      <c r="M35">
        <v>77.130587233560362</v>
      </c>
      <c r="N35">
        <v>77.130587233560362</v>
      </c>
      <c r="O35">
        <v>77.130587233560362</v>
      </c>
      <c r="P35">
        <v>77.130587233560362</v>
      </c>
      <c r="Q35">
        <v>77.130587233560362</v>
      </c>
      <c r="R35">
        <v>77.130587233560362</v>
      </c>
    </row>
    <row r="36" spans="1:18" x14ac:dyDescent="0.2">
      <c r="A36" s="43" t="s">
        <v>92</v>
      </c>
      <c r="B36" s="61">
        <f>B34+B35</f>
        <v>29106.024449999997</v>
      </c>
      <c r="D36" s="42"/>
      <c r="E36" s="42"/>
      <c r="G36" s="3"/>
      <c r="H36" s="3" t="s">
        <v>112</v>
      </c>
      <c r="L36" s="81">
        <v>7.4999999999999997E-2</v>
      </c>
      <c r="M36">
        <v>74.788036455444114</v>
      </c>
      <c r="N36">
        <v>74.788036455444114</v>
      </c>
      <c r="O36">
        <v>74.788036455444114</v>
      </c>
      <c r="P36">
        <v>74.788036455444114</v>
      </c>
      <c r="Q36">
        <v>74.788036455444114</v>
      </c>
      <c r="R36">
        <v>74.788036455444114</v>
      </c>
    </row>
    <row r="37" spans="1:18" x14ac:dyDescent="0.2">
      <c r="A37" s="42"/>
      <c r="B37" s="42"/>
      <c r="D37" s="43" t="s">
        <v>101</v>
      </c>
      <c r="E37" s="75">
        <f>K24*(1+E34)/(E35-E34)</f>
        <v>158756.98510806929</v>
      </c>
      <c r="G37" s="3" t="s">
        <v>113</v>
      </c>
      <c r="H37" s="33">
        <v>85.81</v>
      </c>
      <c r="L37" s="81">
        <v>0.08</v>
      </c>
      <c r="M37">
        <v>72.527321501404032</v>
      </c>
      <c r="N37">
        <v>72.527321501404032</v>
      </c>
      <c r="O37">
        <v>72.527321501404032</v>
      </c>
      <c r="P37">
        <v>72.527321501404032</v>
      </c>
      <c r="Q37">
        <v>72.527321501404032</v>
      </c>
      <c r="R37">
        <v>72.527321501404032</v>
      </c>
    </row>
    <row r="38" spans="1:18" x14ac:dyDescent="0.2">
      <c r="A38" s="44" t="s">
        <v>93</v>
      </c>
      <c r="B38" s="74">
        <f>(B28*B32)+(B29*B31)</f>
        <v>5.3080092086193522</v>
      </c>
      <c r="D38" s="43" t="s">
        <v>102</v>
      </c>
      <c r="E38" s="75">
        <f>NPV(E35,G24:K24)</f>
        <v>13467.558404802763</v>
      </c>
      <c r="G38" s="3" t="s">
        <v>114</v>
      </c>
      <c r="H38" s="33">
        <f>DCF_downside!H31</f>
        <v>84.595323695891409</v>
      </c>
    </row>
    <row r="39" spans="1:18" x14ac:dyDescent="0.2">
      <c r="D39" s="43" t="s">
        <v>103</v>
      </c>
      <c r="E39" s="75">
        <f>E38/(1+E35)^5</f>
        <v>10407.663428124333</v>
      </c>
      <c r="G39" s="3" t="s">
        <v>115</v>
      </c>
      <c r="H39" s="33">
        <f>DCF_upside!H31</f>
        <v>86.886466318084359</v>
      </c>
      <c r="L39" s="81"/>
      <c r="M39" s="81"/>
      <c r="N39" s="81"/>
      <c r="O39" s="81"/>
      <c r="P39" s="81"/>
      <c r="Q39" s="81"/>
      <c r="R39" s="81"/>
    </row>
    <row r="40" spans="1:18" x14ac:dyDescent="0.2">
      <c r="D40" s="43" t="s">
        <v>104</v>
      </c>
      <c r="E40" s="75">
        <f>E38+E39</f>
        <v>23875.221832927098</v>
      </c>
    </row>
  </sheetData>
  <mergeCells count="10">
    <mergeCell ref="L29:M29"/>
    <mergeCell ref="A23:K23"/>
    <mergeCell ref="A27:B27"/>
    <mergeCell ref="D27:E27"/>
    <mergeCell ref="G2:K2"/>
    <mergeCell ref="A6:K6"/>
    <mergeCell ref="A9:K9"/>
    <mergeCell ref="A12:K12"/>
    <mergeCell ref="A16:K16"/>
    <mergeCell ref="A19:K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11BA-0878-D642-8627-1772D951D7A5}">
  <dimension ref="A2:P40"/>
  <sheetViews>
    <sheetView zoomScale="75" workbookViewId="0">
      <selection activeCell="A2" sqref="A2"/>
    </sheetView>
  </sheetViews>
  <sheetFormatPr baseColWidth="10" defaultRowHeight="16" x14ac:dyDescent="0.2"/>
  <cols>
    <col min="1" max="1" width="26.6640625" style="2" bestFit="1" customWidth="1"/>
    <col min="2" max="3" width="11.83203125" bestFit="1" customWidth="1"/>
    <col min="4" max="4" width="14.1640625" bestFit="1" customWidth="1"/>
    <col min="5" max="5" width="12.5" bestFit="1" customWidth="1"/>
    <col min="6" max="7" width="11.83203125" bestFit="1" customWidth="1"/>
    <col min="8" max="8" width="11.5" bestFit="1" customWidth="1"/>
    <col min="9" max="11" width="11.83203125" bestFit="1" customWidth="1"/>
    <col min="12" max="12" width="12.1640625" bestFit="1" customWidth="1"/>
  </cols>
  <sheetData>
    <row r="2" spans="1:12" x14ac:dyDescent="0.2">
      <c r="A2" s="48"/>
      <c r="B2" s="45"/>
      <c r="C2" s="45"/>
      <c r="D2" s="45"/>
      <c r="E2" s="45"/>
      <c r="F2" s="45"/>
      <c r="G2" s="100" t="s">
        <v>82</v>
      </c>
      <c r="H2" s="100"/>
      <c r="I2" s="100"/>
      <c r="J2" s="100"/>
      <c r="K2" s="100"/>
    </row>
    <row r="3" spans="1:12" x14ac:dyDescent="0.2">
      <c r="A3" s="49"/>
      <c r="B3" s="46">
        <v>2021</v>
      </c>
      <c r="C3" s="46">
        <v>2022</v>
      </c>
      <c r="D3" s="46">
        <v>2023</v>
      </c>
      <c r="E3" s="46">
        <v>2024</v>
      </c>
      <c r="F3" s="46">
        <v>2025</v>
      </c>
      <c r="G3" s="57">
        <v>2026</v>
      </c>
      <c r="H3" s="57">
        <v>2027</v>
      </c>
      <c r="I3" s="57">
        <v>2028</v>
      </c>
      <c r="J3" s="57">
        <v>2029</v>
      </c>
      <c r="K3" s="57">
        <v>2030</v>
      </c>
      <c r="L3" s="58" t="s">
        <v>83</v>
      </c>
    </row>
    <row r="4" spans="1:12" x14ac:dyDescent="0.2">
      <c r="A4" s="50" t="s">
        <v>69</v>
      </c>
      <c r="B4" s="15">
        <v>33746.839</v>
      </c>
      <c r="C4" s="15">
        <v>34220.449000000001</v>
      </c>
      <c r="D4" s="15">
        <v>37844.862999999998</v>
      </c>
      <c r="E4" s="15">
        <v>38691.608999999997</v>
      </c>
      <c r="F4" s="15">
        <v>40612.307999999997</v>
      </c>
      <c r="G4" s="18">
        <f>(1+G5)*F4</f>
        <v>41911.901855999997</v>
      </c>
      <c r="H4" s="18">
        <f>(1+H5)*G4</f>
        <v>43211.170813535995</v>
      </c>
      <c r="I4" s="18">
        <f>(1+I5)*H4</f>
        <v>44421.083596315002</v>
      </c>
      <c r="J4" s="18">
        <f t="shared" ref="J4" si="0">(1+J5)*I4</f>
        <v>45531.61068622287</v>
      </c>
      <c r="K4" s="18">
        <f>(1+K5)*J4</f>
        <v>46442.242899947327</v>
      </c>
    </row>
    <row r="5" spans="1:12" x14ac:dyDescent="0.2">
      <c r="A5" s="50" t="s">
        <v>70</v>
      </c>
      <c r="B5" s="47"/>
      <c r="C5" s="47">
        <f>(C4-B4)/B4</f>
        <v>1.4034203321976337E-2</v>
      </c>
      <c r="D5" s="47">
        <f>(D4-C4)/C4</f>
        <v>0.1059136892096301</v>
      </c>
      <c r="E5" s="47">
        <f>(E4-D4)/D4</f>
        <v>2.2374133049444498E-2</v>
      </c>
      <c r="F5" s="47">
        <f>(F4-E4)/E4</f>
        <v>4.9641228412082856E-2</v>
      </c>
      <c r="G5" s="54">
        <v>3.2000000000000001E-2</v>
      </c>
      <c r="H5" s="54">
        <v>3.1E-2</v>
      </c>
      <c r="I5" s="54">
        <v>2.8000000000000001E-2</v>
      </c>
      <c r="J5" s="54">
        <v>2.5000000000000001E-2</v>
      </c>
      <c r="K5" s="54">
        <v>0.02</v>
      </c>
      <c r="L5" s="77">
        <v>0.02</v>
      </c>
    </row>
    <row r="6" spans="1:12" x14ac:dyDescent="0.2">
      <c r="A6" s="94"/>
      <c r="B6" s="95"/>
      <c r="C6" s="95"/>
      <c r="D6" s="95"/>
      <c r="E6" s="95"/>
      <c r="F6" s="95"/>
      <c r="G6" s="95"/>
      <c r="H6" s="95"/>
      <c r="I6" s="95"/>
      <c r="J6" s="95"/>
      <c r="K6" s="96"/>
    </row>
    <row r="7" spans="1:12" x14ac:dyDescent="0.2">
      <c r="A7" s="50" t="s">
        <v>71</v>
      </c>
      <c r="B7" s="18">
        <f t="shared" ref="B7:F7" si="1">B10+B14</f>
        <v>4129.0019999999995</v>
      </c>
      <c r="C7" s="18">
        <f t="shared" si="1"/>
        <v>3861.991</v>
      </c>
      <c r="D7" s="18">
        <f t="shared" si="1"/>
        <v>4053.1790000000001</v>
      </c>
      <c r="E7" s="18">
        <f t="shared" si="1"/>
        <v>3295.0930000000003</v>
      </c>
      <c r="F7" s="18">
        <f t="shared" si="1"/>
        <v>2685.777</v>
      </c>
      <c r="G7" s="18">
        <f>G8*G4</f>
        <v>4137.571630087089</v>
      </c>
      <c r="H7" s="18">
        <f>H8*H4</f>
        <v>4265.8363506197884</v>
      </c>
      <c r="I7" s="18">
        <f>I8*I4</f>
        <v>4385.2797684371426</v>
      </c>
      <c r="J7" s="18">
        <f>J8*J4</f>
        <v>4494.9117626480702</v>
      </c>
      <c r="K7" s="18">
        <f>K8*K4</f>
        <v>4584.8099979010321</v>
      </c>
    </row>
    <row r="8" spans="1:12" x14ac:dyDescent="0.2">
      <c r="A8" s="50" t="s">
        <v>72</v>
      </c>
      <c r="B8" s="47">
        <f t="shared" ref="B8:F8" si="2">B7/B4</f>
        <v>0.12235225942198615</v>
      </c>
      <c r="C8" s="47">
        <f t="shared" si="2"/>
        <v>0.11285623400207286</v>
      </c>
      <c r="D8" s="47">
        <f t="shared" si="2"/>
        <v>0.10709984602137416</v>
      </c>
      <c r="E8" s="47">
        <f t="shared" si="2"/>
        <v>8.5162987147936922E-2</v>
      </c>
      <c r="F8" s="47">
        <f t="shared" si="2"/>
        <v>6.613209473344879E-2</v>
      </c>
      <c r="G8" s="56">
        <f>AVERAGE(B8:F8)</f>
        <v>9.8720684265363762E-2</v>
      </c>
      <c r="H8" s="56">
        <f>G8</f>
        <v>9.8720684265363762E-2</v>
      </c>
      <c r="I8" s="56">
        <f>H8</f>
        <v>9.8720684265363762E-2</v>
      </c>
      <c r="J8" s="56">
        <f t="shared" ref="J8:K8" si="3">I8</f>
        <v>9.8720684265363762E-2</v>
      </c>
      <c r="K8" s="56">
        <f t="shared" si="3"/>
        <v>9.8720684265363762E-2</v>
      </c>
    </row>
    <row r="9" spans="1:12" x14ac:dyDescent="0.2">
      <c r="A9" s="94"/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2" x14ac:dyDescent="0.2">
      <c r="A10" s="50" t="s">
        <v>7</v>
      </c>
      <c r="B10" s="15">
        <v>3554.7649999999999</v>
      </c>
      <c r="C10" s="15">
        <v>3220.6750000000002</v>
      </c>
      <c r="D10" s="15">
        <v>3328.3020000000001</v>
      </c>
      <c r="E10" s="15">
        <v>2446.3000000000002</v>
      </c>
      <c r="F10" s="15">
        <v>1714.0740000000001</v>
      </c>
      <c r="G10" s="18">
        <f>G11*G4</f>
        <v>3772.0711670399996</v>
      </c>
      <c r="H10" s="18">
        <f t="shared" ref="H10:K10" si="4">H11*H4</f>
        <v>3889.0053732182396</v>
      </c>
      <c r="I10" s="18">
        <f t="shared" si="4"/>
        <v>3997.89752366835</v>
      </c>
      <c r="J10" s="18">
        <f t="shared" si="4"/>
        <v>4097.8449617600581</v>
      </c>
      <c r="K10" s="18">
        <f t="shared" si="4"/>
        <v>4179.8018609952596</v>
      </c>
    </row>
    <row r="11" spans="1:12" x14ac:dyDescent="0.2">
      <c r="A11" s="50" t="s">
        <v>72</v>
      </c>
      <c r="B11" s="47">
        <f t="shared" ref="B11:F11" si="5">B10/B4</f>
        <v>0.10533623608421518</v>
      </c>
      <c r="C11" s="47">
        <f t="shared" si="5"/>
        <v>9.4115509705907138E-2</v>
      </c>
      <c r="D11" s="47">
        <f t="shared" si="5"/>
        <v>8.794593866015582E-2</v>
      </c>
      <c r="E11" s="47">
        <f t="shared" si="5"/>
        <v>6.3225594986241085E-2</v>
      </c>
      <c r="F11" s="47">
        <f t="shared" si="5"/>
        <v>4.22057766330345E-2</v>
      </c>
      <c r="G11" s="54">
        <v>0.09</v>
      </c>
      <c r="H11" s="54">
        <v>0.09</v>
      </c>
      <c r="I11" s="54">
        <v>0.09</v>
      </c>
      <c r="J11" s="54">
        <v>0.09</v>
      </c>
      <c r="K11" s="54">
        <v>0.09</v>
      </c>
    </row>
    <row r="12" spans="1:12" x14ac:dyDescent="0.2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6"/>
    </row>
    <row r="13" spans="1:12" x14ac:dyDescent="0.2">
      <c r="A13" s="50" t="s">
        <v>73</v>
      </c>
      <c r="B13" s="15">
        <v>25862.624</v>
      </c>
      <c r="C13" s="15">
        <v>26327.370999999999</v>
      </c>
      <c r="D13" s="15">
        <v>29083.366999999998</v>
      </c>
      <c r="E13" s="15">
        <v>30795.591</v>
      </c>
      <c r="F13" s="15">
        <v>31132.733</v>
      </c>
      <c r="G13" s="14"/>
      <c r="H13" s="14"/>
      <c r="I13" s="14"/>
      <c r="J13" s="14"/>
      <c r="K13" s="14"/>
    </row>
    <row r="14" spans="1:12" x14ac:dyDescent="0.2">
      <c r="A14" s="50" t="s">
        <v>74</v>
      </c>
      <c r="B14" s="14">
        <v>574.23699999999997</v>
      </c>
      <c r="C14" s="14">
        <v>641.31600000000003</v>
      </c>
      <c r="D14" s="14">
        <v>724.87699999999995</v>
      </c>
      <c r="E14" s="14">
        <v>848.79300000000001</v>
      </c>
      <c r="F14" s="14">
        <v>971.70299999999997</v>
      </c>
      <c r="G14" s="18">
        <f>G17*G4</f>
        <v>844.72906125263887</v>
      </c>
      <c r="H14" s="18">
        <f t="shared" ref="H14:K14" si="6">H17*H4</f>
        <v>870.91566215147066</v>
      </c>
      <c r="I14" s="18">
        <f t="shared" si="6"/>
        <v>895.30130069171173</v>
      </c>
      <c r="J14" s="18">
        <f t="shared" si="6"/>
        <v>917.68383320900443</v>
      </c>
      <c r="K14" s="18">
        <f t="shared" si="6"/>
        <v>936.03750987318449</v>
      </c>
    </row>
    <row r="15" spans="1:12" x14ac:dyDescent="0.2">
      <c r="A15" s="50" t="s">
        <v>75</v>
      </c>
      <c r="B15" s="14">
        <v>1027.963</v>
      </c>
      <c r="C15" s="14">
        <v>1070.46</v>
      </c>
      <c r="D15" s="14">
        <v>1560.5820000000001</v>
      </c>
      <c r="E15" s="52">
        <v>1700.222</v>
      </c>
      <c r="F15" s="14">
        <v>1309.8879999999999</v>
      </c>
      <c r="G15" s="18">
        <f>G18*G4</f>
        <v>1501.9129619036394</v>
      </c>
      <c r="H15" s="18">
        <f t="shared" ref="H15:K15" si="7">H18*H4</f>
        <v>1548.4722637226523</v>
      </c>
      <c r="I15" s="18">
        <f t="shared" si="7"/>
        <v>1591.8294871068865</v>
      </c>
      <c r="J15" s="18">
        <f t="shared" si="7"/>
        <v>1631.6252242845583</v>
      </c>
      <c r="K15" s="18">
        <f t="shared" si="7"/>
        <v>1664.2577287702495</v>
      </c>
    </row>
    <row r="16" spans="1:12" x14ac:dyDescent="0.2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6"/>
    </row>
    <row r="17" spans="1:15" x14ac:dyDescent="0.2">
      <c r="A17" s="51" t="s">
        <v>76</v>
      </c>
      <c r="B17" s="47">
        <f>B14/B4</f>
        <v>1.7016023337770983E-2</v>
      </c>
      <c r="C17" s="47">
        <f t="shared" ref="C17:F17" si="8">C14/C4</f>
        <v>1.8740724296165724E-2</v>
      </c>
      <c r="D17" s="47">
        <f t="shared" si="8"/>
        <v>1.9153907361218352E-2</v>
      </c>
      <c r="E17" s="47">
        <f t="shared" si="8"/>
        <v>2.1937392161695837E-2</v>
      </c>
      <c r="F17" s="47">
        <f t="shared" si="8"/>
        <v>2.392631810041429E-2</v>
      </c>
      <c r="G17" s="56">
        <f>AVERAGE(B17:F17)</f>
        <v>2.0154873051453037E-2</v>
      </c>
      <c r="H17" s="56">
        <f t="shared" ref="H17:K18" si="9">G17</f>
        <v>2.0154873051453037E-2</v>
      </c>
      <c r="I17" s="56">
        <f t="shared" si="9"/>
        <v>2.0154873051453037E-2</v>
      </c>
      <c r="J17" s="56">
        <f t="shared" si="9"/>
        <v>2.0154873051453037E-2</v>
      </c>
      <c r="K17" s="56">
        <f t="shared" si="9"/>
        <v>2.0154873051453037E-2</v>
      </c>
    </row>
    <row r="18" spans="1:15" x14ac:dyDescent="0.2">
      <c r="A18" s="51" t="s">
        <v>77</v>
      </c>
      <c r="B18" s="47">
        <f t="shared" ref="B18:F18" si="10">B15/B4</f>
        <v>3.0461015919150233E-2</v>
      </c>
      <c r="C18" s="47">
        <f t="shared" si="10"/>
        <v>3.1281296163004756E-2</v>
      </c>
      <c r="D18" s="47">
        <f t="shared" si="10"/>
        <v>4.1236296720112323E-2</v>
      </c>
      <c r="E18" s="47">
        <f t="shared" si="10"/>
        <v>4.3942912790212472E-2</v>
      </c>
      <c r="F18" s="47">
        <f t="shared" si="10"/>
        <v>3.2253473503648204E-2</v>
      </c>
      <c r="G18" s="56">
        <f>AVERAGE(B18:F18)</f>
        <v>3.58349990192256E-2</v>
      </c>
      <c r="H18" s="56">
        <f t="shared" si="9"/>
        <v>3.58349990192256E-2</v>
      </c>
      <c r="I18" s="56">
        <f t="shared" si="9"/>
        <v>3.58349990192256E-2</v>
      </c>
      <c r="J18" s="56">
        <f t="shared" si="9"/>
        <v>3.58349990192256E-2</v>
      </c>
      <c r="K18" s="56">
        <f t="shared" si="9"/>
        <v>3.58349990192256E-2</v>
      </c>
    </row>
    <row r="19" spans="1:15" x14ac:dyDescent="0.2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6"/>
    </row>
    <row r="20" spans="1:15" x14ac:dyDescent="0.2">
      <c r="A20" s="51" t="s">
        <v>78</v>
      </c>
      <c r="B20" s="14">
        <f>(6914.219-1376.577)-5710.783</f>
        <v>-173.14100000000053</v>
      </c>
      <c r="C20" s="14">
        <f>(6303.843)-5979.357</f>
        <v>324.48599999999988</v>
      </c>
      <c r="D20" s="14">
        <f>(7581.009-381.576)-(5887.768-1288.939)</f>
        <v>2600.6040000000003</v>
      </c>
      <c r="E20" s="14">
        <f>(8010.724-537.283)-(6725.701-768.645)</f>
        <v>1516.3849999999993</v>
      </c>
      <c r="F20" s="14">
        <f>(8163.925-932.576)-(6868.702-519.463)</f>
        <v>882.10999999999967</v>
      </c>
      <c r="G20" s="18">
        <f>G21*G4</f>
        <v>838.23803711999994</v>
      </c>
      <c r="H20" s="18">
        <f t="shared" ref="H20:K20" si="11">H21*H4</f>
        <v>864.22341627071989</v>
      </c>
      <c r="I20" s="18">
        <f t="shared" si="11"/>
        <v>888.42167192630006</v>
      </c>
      <c r="J20" s="18">
        <f t="shared" si="11"/>
        <v>910.63221372445742</v>
      </c>
      <c r="K20" s="18">
        <f t="shared" si="11"/>
        <v>928.84485799894651</v>
      </c>
    </row>
    <row r="21" spans="1:15" x14ac:dyDescent="0.2">
      <c r="A21" s="51" t="s">
        <v>79</v>
      </c>
      <c r="B21" s="47">
        <f>B20/B4</f>
        <v>-5.1305842304223076E-3</v>
      </c>
      <c r="C21" s="47">
        <f t="shared" ref="C21:F21" si="12">C20/C4</f>
        <v>9.482225087110923E-3</v>
      </c>
      <c r="D21" s="47">
        <f t="shared" si="12"/>
        <v>6.8717490138621995E-2</v>
      </c>
      <c r="E21" s="47">
        <f t="shared" si="12"/>
        <v>3.9191572518992412E-2</v>
      </c>
      <c r="F21" s="47">
        <f t="shared" si="12"/>
        <v>2.172026273414453E-2</v>
      </c>
      <c r="G21" s="56">
        <v>0.02</v>
      </c>
      <c r="H21" s="56">
        <v>0.02</v>
      </c>
      <c r="I21" s="56">
        <v>0.02</v>
      </c>
      <c r="J21" s="56">
        <v>0.02</v>
      </c>
      <c r="K21" s="56">
        <v>0.02</v>
      </c>
    </row>
    <row r="22" spans="1:15" x14ac:dyDescent="0.2">
      <c r="A22" s="51" t="s">
        <v>80</v>
      </c>
      <c r="B22" s="14"/>
      <c r="C22" s="14"/>
      <c r="D22" s="14"/>
      <c r="E22" s="14"/>
      <c r="F22" s="14"/>
      <c r="G22" s="18">
        <f>G20-F20</f>
        <v>-43.871962879999728</v>
      </c>
      <c r="H22" s="18">
        <f t="shared" ref="H22:K22" si="13">H20-G20</f>
        <v>25.98537915071995</v>
      </c>
      <c r="I22" s="18">
        <f t="shared" si="13"/>
        <v>24.198255655580169</v>
      </c>
      <c r="J22" s="18">
        <f t="shared" si="13"/>
        <v>22.210541798157351</v>
      </c>
      <c r="K22" s="18">
        <f t="shared" si="13"/>
        <v>18.212644274489094</v>
      </c>
    </row>
    <row r="23" spans="1:15" x14ac:dyDescent="0.2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6"/>
      <c r="M23" t="s">
        <v>109</v>
      </c>
      <c r="N23" s="69">
        <v>0.22</v>
      </c>
    </row>
    <row r="24" spans="1:15" x14ac:dyDescent="0.2">
      <c r="A24" s="51" t="s">
        <v>81</v>
      </c>
      <c r="B24" s="14"/>
      <c r="C24" s="14"/>
      <c r="D24" s="14"/>
      <c r="E24" s="14"/>
      <c r="F24" s="14"/>
      <c r="G24" s="70">
        <f>G10*(1-N23)+G14-(G15+G21)</f>
        <v>2285.0116096401994</v>
      </c>
      <c r="H24" s="70">
        <f t="shared" ref="H24:K24" si="14">H10*(1-O23)+H14-(H15+H21)</f>
        <v>3211.4287716470576</v>
      </c>
      <c r="I24" s="70">
        <f t="shared" si="14"/>
        <v>3301.3493372531752</v>
      </c>
      <c r="J24" s="70">
        <f t="shared" si="14"/>
        <v>3383.8835706845048</v>
      </c>
      <c r="K24" s="70">
        <f t="shared" si="14"/>
        <v>3451.5616420981951</v>
      </c>
      <c r="M24" s="67"/>
      <c r="N24" s="65"/>
      <c r="O24" s="68" t="s">
        <v>108</v>
      </c>
    </row>
    <row r="27" spans="1:15" x14ac:dyDescent="0.2">
      <c r="A27" s="97" t="s">
        <v>84</v>
      </c>
      <c r="B27" s="98"/>
      <c r="D27" s="99" t="s">
        <v>94</v>
      </c>
      <c r="E27" s="99"/>
      <c r="G27" s="62" t="s">
        <v>47</v>
      </c>
      <c r="H27" s="63">
        <f>Comparables!G9</f>
        <v>1284.5999999999999</v>
      </c>
    </row>
    <row r="28" spans="1:15" x14ac:dyDescent="0.2">
      <c r="A28" s="43" t="s">
        <v>85</v>
      </c>
      <c r="B28" s="59">
        <f>B34/B36</f>
        <v>0.21433665771554727</v>
      </c>
      <c r="D28" s="62" t="s">
        <v>95</v>
      </c>
      <c r="E28" s="60"/>
      <c r="G28" s="62" t="s">
        <v>48</v>
      </c>
      <c r="H28" s="63">
        <f>B34</f>
        <v>6238.4879999999994</v>
      </c>
    </row>
    <row r="29" spans="1:15" x14ac:dyDescent="0.2">
      <c r="A29" s="43" t="s">
        <v>86</v>
      </c>
      <c r="B29" s="59">
        <f>B35/B36</f>
        <v>0.78566334228445278</v>
      </c>
      <c r="D29" s="62" t="s">
        <v>96</v>
      </c>
      <c r="E29" s="71">
        <v>4.1399999999999999E-2</v>
      </c>
      <c r="G29" s="62" t="s">
        <v>105</v>
      </c>
      <c r="H29" s="76">
        <f>E40+H27-H28</f>
        <v>18652.845898325577</v>
      </c>
    </row>
    <row r="30" spans="1:15" x14ac:dyDescent="0.2">
      <c r="A30" s="43" t="s">
        <v>87</v>
      </c>
      <c r="B30" s="42">
        <v>5.01</v>
      </c>
      <c r="D30" s="62" t="s">
        <v>97</v>
      </c>
      <c r="E30" s="63">
        <v>0.31</v>
      </c>
      <c r="G30" s="62" t="s">
        <v>106</v>
      </c>
      <c r="H30" s="63">
        <f>Comparables!D9</f>
        <v>220.495</v>
      </c>
    </row>
    <row r="31" spans="1:15" x14ac:dyDescent="0.2">
      <c r="A31" s="43" t="s">
        <v>88</v>
      </c>
      <c r="B31" s="73">
        <v>5.69</v>
      </c>
      <c r="D31" s="62" t="s">
        <v>98</v>
      </c>
      <c r="E31" s="60">
        <v>0.05</v>
      </c>
      <c r="F31" t="s">
        <v>110</v>
      </c>
      <c r="G31" s="78" t="s">
        <v>107</v>
      </c>
      <c r="H31" s="79">
        <f>H29/H30</f>
        <v>84.595323695891409</v>
      </c>
    </row>
    <row r="32" spans="1:15" x14ac:dyDescent="0.2">
      <c r="A32" s="43" t="s">
        <v>89</v>
      </c>
      <c r="B32" s="63">
        <f>B30*(1-0.22)</f>
        <v>3.9077999999999999</v>
      </c>
      <c r="D32" s="64" t="s">
        <v>99</v>
      </c>
      <c r="E32" s="72">
        <f>E29+E30*E31</f>
        <v>5.6899999999999999E-2</v>
      </c>
    </row>
    <row r="33" spans="1:16" x14ac:dyDescent="0.2">
      <c r="A33" s="43"/>
      <c r="B33" s="59"/>
      <c r="D33" s="65"/>
      <c r="E33" s="65"/>
      <c r="J33" s="80">
        <f>H31</f>
        <v>84.595323695891409</v>
      </c>
      <c r="K33" s="81">
        <v>3.5000000000000003E-2</v>
      </c>
      <c r="L33" s="81">
        <v>0.04</v>
      </c>
      <c r="M33" s="81">
        <v>4.4999999999999998E-2</v>
      </c>
      <c r="N33" s="81">
        <v>0.05</v>
      </c>
      <c r="O33" s="81">
        <v>5.5E-2</v>
      </c>
      <c r="P33" s="81">
        <v>0.06</v>
      </c>
    </row>
    <row r="34" spans="1:16" x14ac:dyDescent="0.2">
      <c r="A34" s="43" t="s">
        <v>90</v>
      </c>
      <c r="B34" s="42">
        <f>519.463+5719.025</f>
        <v>6238.4879999999994</v>
      </c>
      <c r="D34" s="62" t="s">
        <v>100</v>
      </c>
      <c r="E34" s="66">
        <v>0.02</v>
      </c>
      <c r="J34" s="82">
        <v>0.06</v>
      </c>
      <c r="K34">
        <f t="dataTable" ref="K34:P39" dt2D="1" dtr="1" r1="E34" r2="E35"/>
        <v>80.906886376898584</v>
      </c>
      <c r="L34">
        <v>80.906886376898584</v>
      </c>
      <c r="M34">
        <v>80.906886376898584</v>
      </c>
      <c r="N34">
        <v>80.906886376898584</v>
      </c>
      <c r="O34">
        <v>80.906886376898584</v>
      </c>
      <c r="P34">
        <v>80.906886376898584</v>
      </c>
    </row>
    <row r="35" spans="1:16" x14ac:dyDescent="0.2">
      <c r="A35" s="43" t="s">
        <v>91</v>
      </c>
      <c r="B35" s="61">
        <f>Comparables!E9</f>
        <v>22867.53645</v>
      </c>
      <c r="D35" s="62" t="s">
        <v>93</v>
      </c>
      <c r="E35" s="71">
        <v>5.2900000000000003E-2</v>
      </c>
      <c r="J35" s="82">
        <v>6.5000000000000002E-2</v>
      </c>
      <c r="K35">
        <v>78.42178016951874</v>
      </c>
      <c r="L35">
        <v>78.42178016951874</v>
      </c>
      <c r="M35">
        <v>78.42178016951874</v>
      </c>
      <c r="N35">
        <v>78.42178016951874</v>
      </c>
      <c r="O35">
        <v>78.42178016951874</v>
      </c>
      <c r="P35">
        <v>78.42178016951874</v>
      </c>
    </row>
    <row r="36" spans="1:16" x14ac:dyDescent="0.2">
      <c r="A36" s="43" t="s">
        <v>92</v>
      </c>
      <c r="B36" s="61">
        <f>B34+B35</f>
        <v>29106.024449999997</v>
      </c>
      <c r="D36" s="42"/>
      <c r="E36" s="42"/>
      <c r="J36" s="82">
        <v>7.0000000000000007E-2</v>
      </c>
      <c r="K36">
        <v>76.024902192153675</v>
      </c>
      <c r="L36">
        <v>76.024902192153675</v>
      </c>
      <c r="M36">
        <v>76.024902192153675</v>
      </c>
      <c r="N36">
        <v>76.024902192153675</v>
      </c>
      <c r="O36">
        <v>76.024902192153675</v>
      </c>
      <c r="P36">
        <v>76.024902192153675</v>
      </c>
    </row>
    <row r="37" spans="1:16" x14ac:dyDescent="0.2">
      <c r="A37" s="42"/>
      <c r="B37" s="42"/>
      <c r="D37" s="43" t="s">
        <v>101</v>
      </c>
      <c r="E37" s="75">
        <f>K24*(1+E34)/(E35-E34)</f>
        <v>107008.90197386502</v>
      </c>
      <c r="J37" s="82">
        <v>7.4999999999999997E-2</v>
      </c>
      <c r="K37">
        <v>73.712399916137542</v>
      </c>
      <c r="L37">
        <v>73.712399916137542</v>
      </c>
      <c r="M37">
        <v>73.712399916137542</v>
      </c>
      <c r="N37">
        <v>73.712399916137542</v>
      </c>
      <c r="O37">
        <v>73.712399916137542</v>
      </c>
      <c r="P37">
        <v>73.712399916137542</v>
      </c>
    </row>
    <row r="38" spans="1:16" x14ac:dyDescent="0.2">
      <c r="A38" s="44" t="s">
        <v>93</v>
      </c>
      <c r="B38" s="74">
        <f>(B28*B32)+(B29*B31)</f>
        <v>5.3080092086193522</v>
      </c>
      <c r="D38" s="43" t="s">
        <v>102</v>
      </c>
      <c r="E38" s="75">
        <f>NPV(E35,G24:K24)</f>
        <v>13316.109468933859</v>
      </c>
      <c r="J38" s="82">
        <v>0.08</v>
      </c>
      <c r="K38">
        <v>71.480614552668399</v>
      </c>
      <c r="L38">
        <v>71.480614552668399</v>
      </c>
      <c r="M38">
        <v>71.480614552668399</v>
      </c>
      <c r="N38">
        <v>71.480614552668399</v>
      </c>
      <c r="O38">
        <v>71.480614552668399</v>
      </c>
      <c r="P38">
        <v>71.480614552668399</v>
      </c>
    </row>
    <row r="39" spans="1:16" x14ac:dyDescent="0.2">
      <c r="D39" s="43" t="s">
        <v>103</v>
      </c>
      <c r="E39" s="75">
        <f>E38/(1+E35)^5</f>
        <v>10290.624429391717</v>
      </c>
      <c r="J39" s="82">
        <v>8.5000000000000006E-2</v>
      </c>
      <c r="K39">
        <v>69.326070187817621</v>
      </c>
      <c r="L39">
        <v>69.326070187817621</v>
      </c>
      <c r="M39">
        <v>69.326070187817621</v>
      </c>
      <c r="N39">
        <v>69.326070187817621</v>
      </c>
      <c r="O39">
        <v>69.326070187817621</v>
      </c>
      <c r="P39">
        <v>69.326070187817621</v>
      </c>
    </row>
    <row r="40" spans="1:16" x14ac:dyDescent="0.2">
      <c r="D40" s="43" t="s">
        <v>104</v>
      </c>
      <c r="E40" s="75">
        <f>E38+E39</f>
        <v>23606.733898325576</v>
      </c>
    </row>
  </sheetData>
  <mergeCells count="9">
    <mergeCell ref="A23:K23"/>
    <mergeCell ref="A27:B27"/>
    <mergeCell ref="D27:E27"/>
    <mergeCell ref="G2:K2"/>
    <mergeCell ref="A6:K6"/>
    <mergeCell ref="A9:K9"/>
    <mergeCell ref="A12:K12"/>
    <mergeCell ref="A16:K16"/>
    <mergeCell ref="A19:K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CCFB-0D8C-6249-AF9C-21823D48C75B}">
  <dimension ref="A2:O40"/>
  <sheetViews>
    <sheetView zoomScale="75" workbookViewId="0">
      <selection activeCell="A2" sqref="A2"/>
    </sheetView>
  </sheetViews>
  <sheetFormatPr baseColWidth="10" defaultRowHeight="16" x14ac:dyDescent="0.2"/>
  <cols>
    <col min="1" max="1" width="26.6640625" style="2" bestFit="1" customWidth="1"/>
    <col min="2" max="3" width="11.5" bestFit="1" customWidth="1"/>
    <col min="4" max="4" width="14.1640625" bestFit="1" customWidth="1"/>
    <col min="5" max="5" width="12.6640625" bestFit="1" customWidth="1"/>
    <col min="6" max="11" width="11.5" bestFit="1" customWidth="1"/>
    <col min="12" max="12" width="12.1640625" bestFit="1" customWidth="1"/>
  </cols>
  <sheetData>
    <row r="2" spans="1:12" x14ac:dyDescent="0.2">
      <c r="A2" s="48"/>
      <c r="B2" s="45"/>
      <c r="C2" s="45"/>
      <c r="D2" s="45"/>
      <c r="E2" s="45"/>
      <c r="F2" s="45"/>
      <c r="G2" s="100" t="s">
        <v>82</v>
      </c>
      <c r="H2" s="100"/>
      <c r="I2" s="100"/>
      <c r="J2" s="100"/>
      <c r="K2" s="100"/>
    </row>
    <row r="3" spans="1:12" x14ac:dyDescent="0.2">
      <c r="A3" s="49"/>
      <c r="B3" s="46">
        <v>2021</v>
      </c>
      <c r="C3" s="46">
        <v>2022</v>
      </c>
      <c r="D3" s="46">
        <v>2023</v>
      </c>
      <c r="E3" s="46">
        <v>2024</v>
      </c>
      <c r="F3" s="46">
        <v>2025</v>
      </c>
      <c r="G3" s="57">
        <v>2026</v>
      </c>
      <c r="H3" s="57">
        <v>2027</v>
      </c>
      <c r="I3" s="57">
        <v>2028</v>
      </c>
      <c r="J3" s="57">
        <v>2029</v>
      </c>
      <c r="K3" s="57">
        <v>2030</v>
      </c>
      <c r="L3" s="58" t="s">
        <v>83</v>
      </c>
    </row>
    <row r="4" spans="1:12" x14ac:dyDescent="0.2">
      <c r="A4" s="50" t="s">
        <v>69</v>
      </c>
      <c r="B4" s="15">
        <v>33746.839</v>
      </c>
      <c r="C4" s="15">
        <v>34220.449000000001</v>
      </c>
      <c r="D4" s="15">
        <v>37844.862999999998</v>
      </c>
      <c r="E4" s="15">
        <v>38691.608999999997</v>
      </c>
      <c r="F4" s="15">
        <v>40612.307999999997</v>
      </c>
      <c r="G4" s="18">
        <f>(1+G5)*F4</f>
        <v>42236.800320000002</v>
      </c>
      <c r="H4" s="18">
        <f>(1+H5)*G4</f>
        <v>43841.798732160001</v>
      </c>
      <c r="I4" s="18">
        <f>(1+I5)*H4</f>
        <v>45376.261687785598</v>
      </c>
      <c r="J4" s="18">
        <f t="shared" ref="J4" si="0">(1+J5)*I4</f>
        <v>46737.549538419167</v>
      </c>
      <c r="K4" s="18">
        <f>(1+K5)*J4</f>
        <v>48046.200925494908</v>
      </c>
    </row>
    <row r="5" spans="1:12" x14ac:dyDescent="0.2">
      <c r="A5" s="50" t="s">
        <v>70</v>
      </c>
      <c r="B5" s="47"/>
      <c r="C5" s="47">
        <f>(C4-B4)/B4</f>
        <v>1.4034203321976337E-2</v>
      </c>
      <c r="D5" s="47">
        <f>(D4-C4)/C4</f>
        <v>0.1059136892096301</v>
      </c>
      <c r="E5" s="47">
        <f>(E4-D4)/D4</f>
        <v>2.2374133049444498E-2</v>
      </c>
      <c r="F5" s="47">
        <f>(F4-E4)/E4</f>
        <v>4.9641228412082856E-2</v>
      </c>
      <c r="G5" s="54">
        <v>0.04</v>
      </c>
      <c r="H5" s="54">
        <v>3.7999999999999999E-2</v>
      </c>
      <c r="I5" s="54">
        <v>3.5000000000000003E-2</v>
      </c>
      <c r="J5" s="55">
        <v>0.03</v>
      </c>
      <c r="K5" s="54">
        <v>2.8000000000000001E-2</v>
      </c>
      <c r="L5" s="53">
        <v>2.5000000000000001E-2</v>
      </c>
    </row>
    <row r="6" spans="1:12" x14ac:dyDescent="0.2">
      <c r="A6" s="94"/>
      <c r="B6" s="95"/>
      <c r="C6" s="95"/>
      <c r="D6" s="95"/>
      <c r="E6" s="95"/>
      <c r="F6" s="95"/>
      <c r="G6" s="95"/>
      <c r="H6" s="95"/>
      <c r="I6" s="95"/>
      <c r="J6" s="95"/>
      <c r="K6" s="96"/>
    </row>
    <row r="7" spans="1:12" x14ac:dyDescent="0.2">
      <c r="A7" s="50" t="s">
        <v>71</v>
      </c>
      <c r="B7" s="18">
        <f t="shared" ref="B7:F7" si="1">B10+B14</f>
        <v>4129.0019999999995</v>
      </c>
      <c r="C7" s="18">
        <f t="shared" si="1"/>
        <v>3861.991</v>
      </c>
      <c r="D7" s="18">
        <f t="shared" si="1"/>
        <v>4053.1790000000001</v>
      </c>
      <c r="E7" s="18">
        <f t="shared" si="1"/>
        <v>3295.0930000000003</v>
      </c>
      <c r="F7" s="18">
        <f t="shared" si="1"/>
        <v>2685.777</v>
      </c>
      <c r="G7" s="18">
        <f>G8*G4</f>
        <v>4169.6458287699352</v>
      </c>
      <c r="H7" s="18">
        <f>H8*H4</f>
        <v>4328.0923702631926</v>
      </c>
      <c r="I7" s="18">
        <f>I8*I4</f>
        <v>4479.5756032224044</v>
      </c>
      <c r="J7" s="18">
        <f>J8*J4</f>
        <v>4613.9628713190768</v>
      </c>
      <c r="K7" s="18">
        <f>K8*K4</f>
        <v>4743.1538317160112</v>
      </c>
    </row>
    <row r="8" spans="1:12" x14ac:dyDescent="0.2">
      <c r="A8" s="50" t="s">
        <v>72</v>
      </c>
      <c r="B8" s="47">
        <f t="shared" ref="B8:F8" si="2">B7/B4</f>
        <v>0.12235225942198615</v>
      </c>
      <c r="C8" s="47">
        <f t="shared" si="2"/>
        <v>0.11285623400207286</v>
      </c>
      <c r="D8" s="47">
        <f t="shared" si="2"/>
        <v>0.10709984602137416</v>
      </c>
      <c r="E8" s="47">
        <f t="shared" si="2"/>
        <v>8.5162987147936922E-2</v>
      </c>
      <c r="F8" s="47">
        <f t="shared" si="2"/>
        <v>6.613209473344879E-2</v>
      </c>
      <c r="G8" s="56">
        <f>AVERAGE(B8:F8)</f>
        <v>9.8720684265363762E-2</v>
      </c>
      <c r="H8" s="56">
        <f>G8</f>
        <v>9.8720684265363762E-2</v>
      </c>
      <c r="I8" s="56">
        <f>H8</f>
        <v>9.8720684265363762E-2</v>
      </c>
      <c r="J8" s="56">
        <f t="shared" ref="J8:K8" si="3">I8</f>
        <v>9.8720684265363762E-2</v>
      </c>
      <c r="K8" s="56">
        <f t="shared" si="3"/>
        <v>9.8720684265363762E-2</v>
      </c>
    </row>
    <row r="9" spans="1:12" x14ac:dyDescent="0.2">
      <c r="A9" s="94"/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2" x14ac:dyDescent="0.2">
      <c r="A10" s="50" t="s">
        <v>7</v>
      </c>
      <c r="B10" s="15">
        <v>3554.7649999999999</v>
      </c>
      <c r="C10" s="15">
        <v>3220.6750000000002</v>
      </c>
      <c r="D10" s="15">
        <v>3328.3020000000001</v>
      </c>
      <c r="E10" s="15">
        <v>2446.3000000000002</v>
      </c>
      <c r="F10" s="15">
        <v>1714.0740000000001</v>
      </c>
      <c r="G10" s="18">
        <f>G11*G4</f>
        <v>3801.3120288</v>
      </c>
      <c r="H10" s="18">
        <f t="shared" ref="H10:K10" si="4">H11*H4</f>
        <v>3945.7618858944002</v>
      </c>
      <c r="I10" s="18">
        <f t="shared" si="4"/>
        <v>4083.8635519007039</v>
      </c>
      <c r="J10" s="18">
        <f t="shared" si="4"/>
        <v>4206.3794584577245</v>
      </c>
      <c r="K10" s="18">
        <f t="shared" si="4"/>
        <v>4324.1580832945419</v>
      </c>
    </row>
    <row r="11" spans="1:12" x14ac:dyDescent="0.2">
      <c r="A11" s="50" t="s">
        <v>72</v>
      </c>
      <c r="B11" s="47">
        <f t="shared" ref="B11:F11" si="5">B10/B4</f>
        <v>0.10533623608421518</v>
      </c>
      <c r="C11" s="47">
        <f t="shared" si="5"/>
        <v>9.4115509705907138E-2</v>
      </c>
      <c r="D11" s="47">
        <f t="shared" si="5"/>
        <v>8.794593866015582E-2</v>
      </c>
      <c r="E11" s="47">
        <f t="shared" si="5"/>
        <v>6.3225594986241085E-2</v>
      </c>
      <c r="F11" s="47">
        <f t="shared" si="5"/>
        <v>4.22057766330345E-2</v>
      </c>
      <c r="G11" s="54">
        <v>0.09</v>
      </c>
      <c r="H11" s="54">
        <v>0.09</v>
      </c>
      <c r="I11" s="54">
        <v>0.09</v>
      </c>
      <c r="J11" s="54">
        <v>0.09</v>
      </c>
      <c r="K11" s="54">
        <v>0.09</v>
      </c>
    </row>
    <row r="12" spans="1:12" x14ac:dyDescent="0.2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6"/>
    </row>
    <row r="13" spans="1:12" x14ac:dyDescent="0.2">
      <c r="A13" s="50" t="s">
        <v>73</v>
      </c>
      <c r="B13" s="15">
        <v>25862.624</v>
      </c>
      <c r="C13" s="15">
        <v>26327.370999999999</v>
      </c>
      <c r="D13" s="15">
        <v>29083.366999999998</v>
      </c>
      <c r="E13" s="15">
        <v>30795.591</v>
      </c>
      <c r="F13" s="15">
        <v>31132.733</v>
      </c>
      <c r="G13" s="14"/>
      <c r="H13" s="14"/>
      <c r="I13" s="14"/>
      <c r="J13" s="14"/>
      <c r="K13" s="14"/>
    </row>
    <row r="14" spans="1:12" x14ac:dyDescent="0.2">
      <c r="A14" s="50" t="s">
        <v>74</v>
      </c>
      <c r="B14" s="14">
        <v>574.23699999999997</v>
      </c>
      <c r="C14" s="14">
        <v>641.31600000000003</v>
      </c>
      <c r="D14" s="14">
        <v>724.87699999999995</v>
      </c>
      <c r="E14" s="14">
        <v>848.79300000000001</v>
      </c>
      <c r="F14" s="14">
        <v>971.70299999999997</v>
      </c>
      <c r="G14" s="18">
        <f>G17*G4</f>
        <v>851.27734854917105</v>
      </c>
      <c r="H14" s="18">
        <f t="shared" ref="H14:K14" si="6">H17*H4</f>
        <v>883.6258877940395</v>
      </c>
      <c r="I14" s="18">
        <f t="shared" si="6"/>
        <v>914.55279386683083</v>
      </c>
      <c r="J14" s="18">
        <f t="shared" si="6"/>
        <v>941.98937768283577</v>
      </c>
      <c r="K14" s="18">
        <f t="shared" si="6"/>
        <v>968.36508025795524</v>
      </c>
    </row>
    <row r="15" spans="1:12" x14ac:dyDescent="0.2">
      <c r="A15" s="50" t="s">
        <v>75</v>
      </c>
      <c r="B15" s="14">
        <v>1027.963</v>
      </c>
      <c r="C15" s="14">
        <v>1070.46</v>
      </c>
      <c r="D15" s="14">
        <v>1560.5820000000001</v>
      </c>
      <c r="E15" s="52">
        <v>1700.222</v>
      </c>
      <c r="F15" s="14">
        <v>1309.8879999999999</v>
      </c>
      <c r="G15" s="18">
        <f>G18*G4</f>
        <v>1513.5556980424276</v>
      </c>
      <c r="H15" s="18">
        <f t="shared" ref="H15:K15" si="7">H18*H4</f>
        <v>1571.0708145680399</v>
      </c>
      <c r="I15" s="18">
        <f t="shared" si="7"/>
        <v>1626.058293077921</v>
      </c>
      <c r="J15" s="18">
        <f t="shared" si="7"/>
        <v>1674.8400418702588</v>
      </c>
      <c r="K15" s="18">
        <f t="shared" si="7"/>
        <v>1721.7355630426262</v>
      </c>
    </row>
    <row r="16" spans="1:12" x14ac:dyDescent="0.2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6"/>
    </row>
    <row r="17" spans="1:15" x14ac:dyDescent="0.2">
      <c r="A17" s="51" t="s">
        <v>76</v>
      </c>
      <c r="B17" s="47">
        <f>B14/B4</f>
        <v>1.7016023337770983E-2</v>
      </c>
      <c r="C17" s="47">
        <f t="shared" ref="C17:F17" si="8">C14/C4</f>
        <v>1.8740724296165724E-2</v>
      </c>
      <c r="D17" s="47">
        <f t="shared" si="8"/>
        <v>1.9153907361218352E-2</v>
      </c>
      <c r="E17" s="47">
        <f t="shared" si="8"/>
        <v>2.1937392161695837E-2</v>
      </c>
      <c r="F17" s="47">
        <f t="shared" si="8"/>
        <v>2.392631810041429E-2</v>
      </c>
      <c r="G17" s="56">
        <f>AVERAGE(B17:F17)</f>
        <v>2.0154873051453037E-2</v>
      </c>
      <c r="H17" s="56">
        <f t="shared" ref="H17:K18" si="9">G17</f>
        <v>2.0154873051453037E-2</v>
      </c>
      <c r="I17" s="56">
        <f t="shared" si="9"/>
        <v>2.0154873051453037E-2</v>
      </c>
      <c r="J17" s="56">
        <f t="shared" si="9"/>
        <v>2.0154873051453037E-2</v>
      </c>
      <c r="K17" s="56">
        <f t="shared" si="9"/>
        <v>2.0154873051453037E-2</v>
      </c>
    </row>
    <row r="18" spans="1:15" x14ac:dyDescent="0.2">
      <c r="A18" s="51" t="s">
        <v>77</v>
      </c>
      <c r="B18" s="47">
        <f t="shared" ref="B18:F18" si="10">B15/B4</f>
        <v>3.0461015919150233E-2</v>
      </c>
      <c r="C18" s="47">
        <f t="shared" si="10"/>
        <v>3.1281296163004756E-2</v>
      </c>
      <c r="D18" s="47">
        <f t="shared" si="10"/>
        <v>4.1236296720112323E-2</v>
      </c>
      <c r="E18" s="47">
        <f t="shared" si="10"/>
        <v>4.3942912790212472E-2</v>
      </c>
      <c r="F18" s="47">
        <f t="shared" si="10"/>
        <v>3.2253473503648204E-2</v>
      </c>
      <c r="G18" s="56">
        <f>AVERAGE(B18:F18)</f>
        <v>3.58349990192256E-2</v>
      </c>
      <c r="H18" s="56">
        <f t="shared" si="9"/>
        <v>3.58349990192256E-2</v>
      </c>
      <c r="I18" s="56">
        <f t="shared" si="9"/>
        <v>3.58349990192256E-2</v>
      </c>
      <c r="J18" s="56">
        <f t="shared" si="9"/>
        <v>3.58349990192256E-2</v>
      </c>
      <c r="K18" s="56">
        <f t="shared" si="9"/>
        <v>3.58349990192256E-2</v>
      </c>
    </row>
    <row r="19" spans="1:15" x14ac:dyDescent="0.2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6"/>
    </row>
    <row r="20" spans="1:15" x14ac:dyDescent="0.2">
      <c r="A20" s="51" t="s">
        <v>78</v>
      </c>
      <c r="B20" s="14">
        <f>(6914.219-1376.577)-5710.783</f>
        <v>-173.14100000000053</v>
      </c>
      <c r="C20" s="14">
        <f>(6303.843)-5979.357</f>
        <v>324.48599999999988</v>
      </c>
      <c r="D20" s="14">
        <f>(7581.009-381.576)-(5887.768-1288.939)</f>
        <v>2600.6040000000003</v>
      </c>
      <c r="E20" s="14">
        <f>(8010.724-537.283)-(6725.701-768.645)</f>
        <v>1516.3849999999993</v>
      </c>
      <c r="F20" s="14">
        <f>(8163.925-932.576)-(6868.702-519.463)</f>
        <v>882.10999999999967</v>
      </c>
      <c r="G20" s="18">
        <f>G21*G4</f>
        <v>844.73600640000006</v>
      </c>
      <c r="H20" s="18">
        <f t="shared" ref="H20:K20" si="11">H21*H4</f>
        <v>876.83597464320007</v>
      </c>
      <c r="I20" s="18">
        <f t="shared" si="11"/>
        <v>907.52523375571195</v>
      </c>
      <c r="J20" s="18">
        <f t="shared" si="11"/>
        <v>934.75099076838342</v>
      </c>
      <c r="K20" s="18">
        <f t="shared" si="11"/>
        <v>960.92401850989813</v>
      </c>
    </row>
    <row r="21" spans="1:15" x14ac:dyDescent="0.2">
      <c r="A21" s="51" t="s">
        <v>79</v>
      </c>
      <c r="B21" s="47">
        <f>B20/B4</f>
        <v>-5.1305842304223076E-3</v>
      </c>
      <c r="C21" s="47">
        <f t="shared" ref="C21:F21" si="12">C20/C4</f>
        <v>9.482225087110923E-3</v>
      </c>
      <c r="D21" s="47">
        <f t="shared" si="12"/>
        <v>6.8717490138621995E-2</v>
      </c>
      <c r="E21" s="47">
        <f t="shared" si="12"/>
        <v>3.9191572518992412E-2</v>
      </c>
      <c r="F21" s="47">
        <f t="shared" si="12"/>
        <v>2.172026273414453E-2</v>
      </c>
      <c r="G21" s="56">
        <v>0.02</v>
      </c>
      <c r="H21" s="56">
        <v>0.02</v>
      </c>
      <c r="I21" s="56">
        <v>0.02</v>
      </c>
      <c r="J21" s="56">
        <v>0.02</v>
      </c>
      <c r="K21" s="56">
        <v>0.02</v>
      </c>
    </row>
    <row r="22" spans="1:15" x14ac:dyDescent="0.2">
      <c r="A22" s="51" t="s">
        <v>80</v>
      </c>
      <c r="B22" s="14"/>
      <c r="C22" s="14"/>
      <c r="D22" s="14"/>
      <c r="E22" s="14"/>
      <c r="F22" s="14"/>
      <c r="G22" s="18">
        <f>G20-F20</f>
        <v>-37.373993599999608</v>
      </c>
      <c r="H22" s="18">
        <f t="shared" ref="H22:K22" si="13">H20-G20</f>
        <v>32.09996824320001</v>
      </c>
      <c r="I22" s="18">
        <f t="shared" si="13"/>
        <v>30.689259112511877</v>
      </c>
      <c r="J22" s="18">
        <f t="shared" si="13"/>
        <v>27.225757012671465</v>
      </c>
      <c r="K22" s="18">
        <f t="shared" si="13"/>
        <v>26.173027741514716</v>
      </c>
    </row>
    <row r="23" spans="1:15" x14ac:dyDescent="0.2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96"/>
      <c r="M23" t="s">
        <v>109</v>
      </c>
      <c r="N23" s="69">
        <v>0.22</v>
      </c>
    </row>
    <row r="24" spans="1:15" x14ac:dyDescent="0.2">
      <c r="A24" s="51" t="s">
        <v>81</v>
      </c>
      <c r="B24" s="14"/>
      <c r="C24" s="14"/>
      <c r="D24" s="14"/>
      <c r="E24" s="14"/>
      <c r="F24" s="14"/>
      <c r="G24" s="70">
        <f>G10*(1-N23)+G14-(G15+G21)</f>
        <v>2302.7250329707435</v>
      </c>
      <c r="H24" s="70">
        <f t="shared" ref="H24:K24" si="14">H10*(1-O23)+H14-(H15+H21)</f>
        <v>3258.2969591204001</v>
      </c>
      <c r="I24" s="70">
        <f t="shared" si="14"/>
        <v>3372.338052689614</v>
      </c>
      <c r="J24" s="70">
        <f t="shared" si="14"/>
        <v>3473.5087942703012</v>
      </c>
      <c r="K24" s="70">
        <f t="shared" si="14"/>
        <v>3570.767600509871</v>
      </c>
      <c r="M24" s="67"/>
      <c r="N24" s="65"/>
      <c r="O24" s="68" t="s">
        <v>108</v>
      </c>
    </row>
    <row r="27" spans="1:15" x14ac:dyDescent="0.2">
      <c r="A27" s="97" t="s">
        <v>84</v>
      </c>
      <c r="B27" s="98"/>
      <c r="D27" s="99" t="s">
        <v>94</v>
      </c>
      <c r="E27" s="99"/>
      <c r="G27" s="62" t="s">
        <v>47</v>
      </c>
      <c r="H27" s="63">
        <f>Comparables!G9</f>
        <v>1284.5999999999999</v>
      </c>
    </row>
    <row r="28" spans="1:15" x14ac:dyDescent="0.2">
      <c r="A28" s="43" t="s">
        <v>85</v>
      </c>
      <c r="B28" s="59">
        <f>B34/B36</f>
        <v>0.21433665771554727</v>
      </c>
      <c r="D28" s="62" t="s">
        <v>95</v>
      </c>
      <c r="E28" s="60"/>
      <c r="G28" s="62" t="s">
        <v>48</v>
      </c>
      <c r="H28" s="63">
        <f>B34</f>
        <v>6238.4879999999994</v>
      </c>
    </row>
    <row r="29" spans="1:15" x14ac:dyDescent="0.2">
      <c r="A29" s="43" t="s">
        <v>86</v>
      </c>
      <c r="B29" s="59">
        <f>B35/B36</f>
        <v>0.78566334228445278</v>
      </c>
      <c r="D29" s="62" t="s">
        <v>96</v>
      </c>
      <c r="E29" s="71">
        <v>4.1399999999999999E-2</v>
      </c>
      <c r="G29" s="62" t="s">
        <v>105</v>
      </c>
      <c r="H29" s="76">
        <f>E40+H27-H28</f>
        <v>19158.031390806012</v>
      </c>
    </row>
    <row r="30" spans="1:15" x14ac:dyDescent="0.2">
      <c r="A30" s="43" t="s">
        <v>87</v>
      </c>
      <c r="B30" s="42">
        <v>5.01</v>
      </c>
      <c r="D30" s="62" t="s">
        <v>97</v>
      </c>
      <c r="E30" s="63">
        <v>0.31</v>
      </c>
      <c r="G30" s="62" t="s">
        <v>106</v>
      </c>
      <c r="H30" s="63">
        <f>Comparables!D9</f>
        <v>220.495</v>
      </c>
    </row>
    <row r="31" spans="1:15" x14ac:dyDescent="0.2">
      <c r="A31" s="43" t="s">
        <v>88</v>
      </c>
      <c r="B31" s="73">
        <v>5.69</v>
      </c>
      <c r="D31" s="62" t="s">
        <v>98</v>
      </c>
      <c r="E31" s="60">
        <v>0.05</v>
      </c>
      <c r="F31" t="s">
        <v>110</v>
      </c>
      <c r="G31" s="78" t="s">
        <v>107</v>
      </c>
      <c r="H31" s="79">
        <f>H29/H30</f>
        <v>86.886466318084359</v>
      </c>
    </row>
    <row r="32" spans="1:15" x14ac:dyDescent="0.2">
      <c r="A32" s="43" t="s">
        <v>89</v>
      </c>
      <c r="B32" s="63">
        <f>B30*(1-0.22)</f>
        <v>3.9077999999999999</v>
      </c>
      <c r="D32" s="64" t="s">
        <v>99</v>
      </c>
      <c r="E32" s="72">
        <f>E29+E30*E31</f>
        <v>5.6899999999999999E-2</v>
      </c>
    </row>
    <row r="33" spans="1:5" x14ac:dyDescent="0.2">
      <c r="A33" s="43"/>
      <c r="B33" s="59"/>
      <c r="D33" s="65"/>
      <c r="E33" s="65"/>
    </row>
    <row r="34" spans="1:5" x14ac:dyDescent="0.2">
      <c r="A34" s="43" t="s">
        <v>90</v>
      </c>
      <c r="B34" s="42">
        <f>519.463+5719.025</f>
        <v>6238.4879999999994</v>
      </c>
      <c r="D34" s="62" t="s">
        <v>100</v>
      </c>
      <c r="E34" s="66">
        <v>0.04</v>
      </c>
    </row>
    <row r="35" spans="1:5" x14ac:dyDescent="0.2">
      <c r="A35" s="43" t="s">
        <v>91</v>
      </c>
      <c r="B35" s="61">
        <f>Comparables!E9</f>
        <v>22867.53645</v>
      </c>
      <c r="D35" s="62" t="s">
        <v>93</v>
      </c>
      <c r="E35" s="71">
        <v>5.2900000000000003E-2</v>
      </c>
    </row>
    <row r="36" spans="1:5" x14ac:dyDescent="0.2">
      <c r="A36" s="43" t="s">
        <v>92</v>
      </c>
      <c r="B36" s="61">
        <f>B34+B35</f>
        <v>29106.024449999997</v>
      </c>
      <c r="D36" s="42"/>
      <c r="E36" s="42"/>
    </row>
    <row r="37" spans="1:5" x14ac:dyDescent="0.2">
      <c r="A37" s="42"/>
      <c r="B37" s="42"/>
      <c r="D37" s="43" t="s">
        <v>101</v>
      </c>
      <c r="E37" s="75">
        <f>K24*(1+E34)/(E35-E34)</f>
        <v>287875.8375604857</v>
      </c>
    </row>
    <row r="38" spans="1:5" x14ac:dyDescent="0.2">
      <c r="A38" s="44" t="s">
        <v>93</v>
      </c>
      <c r="B38" s="74">
        <f>(B28*B32)+(B29*B31)</f>
        <v>5.3080092086193522</v>
      </c>
      <c r="D38" s="43" t="s">
        <v>102</v>
      </c>
      <c r="E38" s="75">
        <f>NPV(E35,G24:K24)</f>
        <v>13601.074993981096</v>
      </c>
    </row>
    <row r="39" spans="1:5" x14ac:dyDescent="0.2">
      <c r="D39" s="43" t="s">
        <v>103</v>
      </c>
      <c r="E39" s="75">
        <f>E38/(1+E35)^5</f>
        <v>10510.844396824916</v>
      </c>
    </row>
    <row r="40" spans="1:5" x14ac:dyDescent="0.2">
      <c r="D40" s="43" t="s">
        <v>104</v>
      </c>
      <c r="E40" s="75">
        <f>E38+E39</f>
        <v>24111.919390806012</v>
      </c>
    </row>
  </sheetData>
  <mergeCells count="9">
    <mergeCell ref="A23:K23"/>
    <mergeCell ref="A27:B27"/>
    <mergeCell ref="D27:E27"/>
    <mergeCell ref="G2:K2"/>
    <mergeCell ref="A6:K6"/>
    <mergeCell ref="A9:K9"/>
    <mergeCell ref="A12:K12"/>
    <mergeCell ref="A16:K16"/>
    <mergeCell ref="A19:K1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9658-F994-8F40-AAD9-EF2C0DE22546}">
  <dimension ref="B4:E10"/>
  <sheetViews>
    <sheetView workbookViewId="0">
      <selection activeCell="A2" sqref="A2"/>
    </sheetView>
  </sheetViews>
  <sheetFormatPr baseColWidth="10" defaultRowHeight="16" x14ac:dyDescent="0.2"/>
  <cols>
    <col min="2" max="2" width="29.5" bestFit="1" customWidth="1"/>
  </cols>
  <sheetData>
    <row r="4" spans="2:5" x14ac:dyDescent="0.2">
      <c r="B4" s="3"/>
      <c r="C4" s="3" t="s">
        <v>120</v>
      </c>
      <c r="D4" s="3" t="s">
        <v>121</v>
      </c>
      <c r="E4" s="3" t="s">
        <v>122</v>
      </c>
    </row>
    <row r="5" spans="2:5" x14ac:dyDescent="0.2">
      <c r="B5" s="3" t="s">
        <v>117</v>
      </c>
      <c r="C5" s="84">
        <f>Comparables!K13</f>
        <v>180.26549721608478</v>
      </c>
      <c r="D5" s="84">
        <f>Comparables!K14</f>
        <v>345.52599849227164</v>
      </c>
      <c r="E5" s="84">
        <f>Comparables!K15</f>
        <v>549.42554363977786</v>
      </c>
    </row>
    <row r="6" spans="2:5" x14ac:dyDescent="0.2">
      <c r="B6" s="3" t="s">
        <v>118</v>
      </c>
      <c r="C6" s="84">
        <f>Comparables!K19</f>
        <v>87.788763094337156</v>
      </c>
      <c r="D6" s="84">
        <f>Comparables!K20</f>
        <v>147.85367709151251</v>
      </c>
      <c r="E6" s="84">
        <f>Comparables!K15</f>
        <v>549.42554363977786</v>
      </c>
    </row>
    <row r="7" spans="2:5" x14ac:dyDescent="0.2">
      <c r="B7" s="3"/>
      <c r="C7" s="84"/>
      <c r="D7" s="84"/>
      <c r="E7" s="84"/>
    </row>
    <row r="8" spans="2:5" x14ac:dyDescent="0.2">
      <c r="B8" s="3" t="s">
        <v>119</v>
      </c>
      <c r="C8" s="84">
        <f>'Precedent Analysis '!G11</f>
        <v>42.715625042928998</v>
      </c>
      <c r="D8" s="84">
        <f>'Precedent Analysis '!G12</f>
        <v>311.0214937987223</v>
      </c>
      <c r="E8" s="84">
        <f>'Precedent Analysis '!G13</f>
        <v>838.71713961892647</v>
      </c>
    </row>
    <row r="9" spans="2:5" x14ac:dyDescent="0.2">
      <c r="B9" s="3"/>
      <c r="C9" s="84"/>
      <c r="D9" s="84"/>
      <c r="E9" s="84"/>
    </row>
    <row r="10" spans="2:5" x14ac:dyDescent="0.2">
      <c r="B10" s="3" t="s">
        <v>123</v>
      </c>
      <c r="C10" s="84">
        <f>DCF_baseline!H37</f>
        <v>85.81</v>
      </c>
      <c r="D10" s="84">
        <f>DCF_baseline!H38</f>
        <v>84.595323695891409</v>
      </c>
      <c r="E10" s="84">
        <f>DCF_baseline!H39</f>
        <v>86.886466318084359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Comparables</vt:lpstr>
      <vt:lpstr>Precedent Analysis </vt:lpstr>
      <vt:lpstr>DCF_baseline</vt:lpstr>
      <vt:lpstr>DCF_downside</vt:lpstr>
      <vt:lpstr>DCF_upside</vt:lpstr>
      <vt:lpstr>Football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 M</dc:creator>
  <cp:lastModifiedBy>Deeksha M</cp:lastModifiedBy>
  <dcterms:created xsi:type="dcterms:W3CDTF">2025-10-07T11:30:52Z</dcterms:created>
  <dcterms:modified xsi:type="dcterms:W3CDTF">2026-03-17T12:30:50Z</dcterms:modified>
</cp:coreProperties>
</file>